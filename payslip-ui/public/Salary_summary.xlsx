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30" windowWidth="27555" windowHeight="12315"/>
  </bookViews>
  <sheets>
    <sheet name="Salary Sumamry" sheetId="2" r:id="rId1"/>
  </sheets>
  <calcPr calcId="145621"/>
</workbook>
</file>

<file path=xl/calcChain.xml><?xml version="1.0" encoding="utf-8"?>
<calcChain xmlns="http://schemas.openxmlformats.org/spreadsheetml/2006/main">
  <c r="I11" i="2" l="1"/>
  <c r="I12" i="2"/>
  <c r="I13" i="2"/>
  <c r="I14" i="2"/>
  <c r="I15" i="2"/>
  <c r="I16" i="2"/>
  <c r="I17" i="2"/>
  <c r="I18" i="2"/>
  <c r="I19" i="2"/>
  <c r="I20" i="2"/>
  <c r="I21" i="2"/>
  <c r="I22" i="2"/>
  <c r="I23" i="2"/>
  <c r="I10" i="2"/>
  <c r="D24" i="2"/>
  <c r="I24" i="2" s="1"/>
  <c r="E24" i="2"/>
  <c r="F24" i="2"/>
  <c r="G24" i="2"/>
  <c r="H24" i="2"/>
  <c r="C24" i="2"/>
  <c r="D7" i="2"/>
</calcChain>
</file>

<file path=xl/sharedStrings.xml><?xml version="1.0" encoding="utf-8"?>
<sst xmlns="http://schemas.openxmlformats.org/spreadsheetml/2006/main" count="31" uniqueCount="31">
  <si>
    <t>Pay Bill for the month of July 2026</t>
  </si>
  <si>
    <t>Debit Heads:</t>
  </si>
  <si>
    <t xml:space="preserve">Expenses: Pay &amp; Allowances: </t>
  </si>
  <si>
    <t>Debit Total</t>
  </si>
  <si>
    <t>Prof.Ratnakumar.P.K</t>
  </si>
  <si>
    <t>Dr.Akhilesh.P</t>
  </si>
  <si>
    <t>Dr.Pranav Haridas</t>
  </si>
  <si>
    <t>Dr. Ankit Rai</t>
  </si>
  <si>
    <t>Billy Francis</t>
  </si>
  <si>
    <t>Sreejith Kurungott</t>
  </si>
  <si>
    <t>Dr.Kalachand Shuin</t>
  </si>
  <si>
    <t>Dr.Sunder Ram Krishnan</t>
  </si>
  <si>
    <t>Dr. Badri Vishal Pandey</t>
  </si>
  <si>
    <t>Rajesh Kuriakose</t>
  </si>
  <si>
    <t>Nidhin Babu M</t>
  </si>
  <si>
    <t>Bidusha.M</t>
  </si>
  <si>
    <t>Anulal M</t>
  </si>
  <si>
    <t xml:space="preserve">SB A/c. with District Treasury: </t>
  </si>
  <si>
    <t>Cheque for Rs.1430905/-</t>
  </si>
  <si>
    <t>M G Mahadev</t>
  </si>
  <si>
    <t>Sundry Creditors - 
EPF/GPF</t>
  </si>
  <si>
    <t>Sundry Creditors - 
IT</t>
  </si>
  <si>
    <t>Sundry  Creditors - 
GIS -Group Insurance Scheme</t>
  </si>
  <si>
    <t>Sundry  Creditors - 
SLI - State Life Insurance/GSLI</t>
  </si>
  <si>
    <t>Sundry  Creditors -
Others - HRA</t>
  </si>
  <si>
    <t>Total</t>
  </si>
  <si>
    <t xml:space="preserve">                                         Credit Heads: 
Employee Name:</t>
  </si>
  <si>
    <t>KERALA SCHOOL OF MATHEMATICS</t>
  </si>
  <si>
    <t>TOTAL</t>
  </si>
  <si>
    <t>Salary Summary- July 2026</t>
  </si>
  <si>
    <t>Expenses: PF Employers contribution: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</si>
</sst>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Fill="1"/>
    <xf numFmtId="0" fontId="0" fillId="0" borderId="1" xfId="0" applyFont="1" applyFill="1" applyBorder="1"/>
    <xf numFmtId="0" fontId="0" fillId="0" borderId="1" xfId="0" applyFill="1" applyBorder="1"/>
    <xf numFmtId="2" fontId="0" fillId="0" borderId="1" xfId="0" applyNumberFormat="1" applyFont="1" applyFill="1" applyBorder="1"/>
    <xf numFmtId="0" fontId="0" fillId="0" borderId="1" xfId="0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ill="1" applyBorder="1"/>
    <xf numFmtId="2" fontId="0" fillId="0" borderId="1" xfId="0" applyNumberFormat="1" applyFon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left"/>
    </xf>
    <xf numFmtId="2" fontId="1" fillId="0" borderId="1" xfId="0" applyNumberFormat="1" applyFont="1" applyFill="1" applyBorder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4" fillId="0" borderId="2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2" fontId="4" fillId="0" borderId="1" xfId="0" applyNumberFormat="1" applyFont="1" applyFill="1" applyBorder="1"/>
    <xf numFmtId="0" fontId="4" fillId="0" borderId="1" xfId="0" applyFont="1" applyFill="1" applyBorder="1" applyAlignment="1"/>
    <xf numFmtId="0" fontId="4" fillId="0" borderId="2" xfId="0" applyFont="1" applyFill="1" applyBorder="1" applyAlignment="1">
      <alignment horizontal="left" indent="2"/>
    </xf>
    <xf numFmtId="0" fontId="4" fillId="0" borderId="3" xfId="0" applyFont="1" applyFill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topLeftCell="B1" zoomScaleNormal="100" workbookViewId="0">
      <selection activeCell="K18" sqref="K18"/>
    </sheetView>
  </sheetViews>
  <sheetFormatPr defaultRowHeight="15" x14ac:dyDescent="0.25"/>
  <cols>
    <col min="1" max="1" width="9.140625" style="1"/>
    <col min="2" max="2" width="30.85546875" style="1" customWidth="1"/>
    <col min="3" max="4" width="17" style="1" bestFit="1" customWidth="1"/>
    <col min="5" max="6" width="27.42578125" style="1" bestFit="1" customWidth="1"/>
    <col min="7" max="7" width="17.5703125" style="1" bestFit="1" customWidth="1"/>
    <col min="8" max="8" width="27.85546875" style="1" bestFit="1" customWidth="1"/>
    <col min="9" max="9" width="13.5703125" style="1" customWidth="1"/>
    <col min="10" max="16" width="32.5703125" style="1" customWidth="1"/>
    <col min="17" max="16384" width="9.140625" style="1"/>
  </cols>
  <sheetData>
    <row r="1" spans="1:9" ht="18.75" x14ac:dyDescent="0.3">
      <c r="B1" s="21" t="s">
        <v>27</v>
      </c>
      <c r="C1" s="21"/>
      <c r="D1" s="21"/>
      <c r="E1" s="21"/>
      <c r="F1" s="21"/>
      <c r="G1" s="21"/>
      <c r="H1" s="21"/>
      <c r="I1" s="21"/>
    </row>
    <row r="2" spans="1:9" x14ac:dyDescent="0.25">
      <c r="A2" s="12" t="s">
        <v>0</v>
      </c>
      <c r="B2" s="17" t="s">
        <v>29</v>
      </c>
      <c r="C2" s="18"/>
      <c r="D2" s="18"/>
      <c r="E2" s="18"/>
      <c r="F2" s="18"/>
      <c r="G2" s="18"/>
      <c r="H2" s="18"/>
      <c r="I2" s="19"/>
    </row>
    <row r="3" spans="1:9" ht="15.75" x14ac:dyDescent="0.25">
      <c r="A3" s="2"/>
      <c r="B3" s="28" t="s">
        <v>1</v>
      </c>
      <c r="C3" s="28"/>
      <c r="D3" s="29"/>
      <c r="E3" s="24"/>
      <c r="F3" s="24"/>
      <c r="G3" s="24"/>
      <c r="H3" s="24"/>
      <c r="I3" s="25"/>
    </row>
    <row r="4" spans="1:9" ht="15.75" x14ac:dyDescent="0.25">
      <c r="A4" s="2"/>
      <c r="B4" s="34" t="s">
        <v>2</v>
      </c>
      <c r="C4" s="35"/>
      <c r="D4" s="32">
        <v>1750041</v>
      </c>
      <c r="E4" s="7"/>
      <c r="F4" s="7"/>
      <c r="G4" s="7"/>
      <c r="H4" s="7"/>
      <c r="I4" s="26"/>
    </row>
    <row r="5" spans="1:9" ht="15.75" x14ac:dyDescent="0.25">
      <c r="A5" s="2"/>
      <c r="B5" s="34" t="s">
        <v>30</v>
      </c>
      <c r="C5" s="35"/>
      <c r="D5" s="32">
        <v>67756</v>
      </c>
      <c r="E5" s="7"/>
      <c r="F5" s="7"/>
      <c r="G5" s="7"/>
      <c r="H5" s="7"/>
      <c r="I5" s="26"/>
    </row>
    <row r="6" spans="1:9" ht="11.25" customHeight="1" x14ac:dyDescent="0.25">
      <c r="A6" s="2"/>
      <c r="B6" s="30"/>
      <c r="C6" s="31"/>
      <c r="D6" s="33"/>
      <c r="E6" s="7"/>
      <c r="F6" s="7"/>
      <c r="G6" s="7"/>
      <c r="H6" s="7"/>
      <c r="I6" s="26"/>
    </row>
    <row r="7" spans="1:9" ht="15.75" x14ac:dyDescent="0.25">
      <c r="A7" s="2"/>
      <c r="B7" s="30" t="s">
        <v>3</v>
      </c>
      <c r="C7" s="31"/>
      <c r="D7" s="32">
        <f>D5+D4</f>
        <v>1817797</v>
      </c>
      <c r="E7" s="20"/>
      <c r="F7" s="20"/>
      <c r="G7" s="20"/>
      <c r="H7" s="20"/>
      <c r="I7" s="27"/>
    </row>
    <row r="8" spans="1:9" x14ac:dyDescent="0.25">
      <c r="A8" s="2"/>
      <c r="B8" s="13"/>
      <c r="C8" s="12">
        <v>1</v>
      </c>
      <c r="D8" s="12">
        <v>2</v>
      </c>
      <c r="E8" s="12">
        <v>3</v>
      </c>
      <c r="F8" s="12">
        <v>4</v>
      </c>
      <c r="G8" s="12">
        <v>5</v>
      </c>
      <c r="H8" s="12">
        <v>6</v>
      </c>
      <c r="I8" s="12">
        <v>7</v>
      </c>
    </row>
    <row r="9" spans="1:9" ht="45" x14ac:dyDescent="0.25">
      <c r="A9" s="2"/>
      <c r="B9" s="14" t="s">
        <v>26</v>
      </c>
      <c r="C9" s="15" t="s">
        <v>21</v>
      </c>
      <c r="D9" s="15" t="s">
        <v>20</v>
      </c>
      <c r="E9" s="15" t="s">
        <v>22</v>
      </c>
      <c r="F9" s="15" t="s">
        <v>23</v>
      </c>
      <c r="G9" s="15" t="s">
        <v>24</v>
      </c>
      <c r="H9" s="16" t="s">
        <v>17</v>
      </c>
      <c r="I9" s="16" t="s">
        <v>25</v>
      </c>
    </row>
    <row r="10" spans="1:9" x14ac:dyDescent="0.25">
      <c r="A10" s="2"/>
      <c r="B10" s="6" t="s">
        <v>4</v>
      </c>
      <c r="C10" s="4">
        <v>85000</v>
      </c>
      <c r="D10" s="4">
        <v>41667</v>
      </c>
      <c r="E10" s="3"/>
      <c r="F10" s="4">
        <v>212</v>
      </c>
      <c r="G10" s="3"/>
      <c r="H10" s="4">
        <v>268317</v>
      </c>
      <c r="I10" s="23">
        <f>SUM(C10:H10)</f>
        <v>395196</v>
      </c>
    </row>
    <row r="11" spans="1:9" x14ac:dyDescent="0.25">
      <c r="A11" s="2"/>
      <c r="B11" s="5" t="s">
        <v>19</v>
      </c>
      <c r="C11" s="4"/>
      <c r="D11" s="4"/>
      <c r="E11" s="3"/>
      <c r="F11" s="4"/>
      <c r="G11" s="3"/>
      <c r="H11" s="4">
        <v>3824</v>
      </c>
      <c r="I11" s="23">
        <f t="shared" ref="I11:I24" si="0">SUM(C11:H11)</f>
        <v>3824</v>
      </c>
    </row>
    <row r="12" spans="1:9" x14ac:dyDescent="0.25">
      <c r="A12" s="2"/>
      <c r="B12" s="5" t="s">
        <v>5</v>
      </c>
      <c r="C12" s="4">
        <v>15300</v>
      </c>
      <c r="D12" s="4">
        <v>17346</v>
      </c>
      <c r="E12" s="4">
        <v>600</v>
      </c>
      <c r="F12" s="4">
        <v>5600</v>
      </c>
      <c r="G12" s="3"/>
      <c r="H12" s="4">
        <v>113328</v>
      </c>
      <c r="I12" s="23">
        <f t="shared" si="0"/>
        <v>152174</v>
      </c>
    </row>
    <row r="13" spans="1:9" x14ac:dyDescent="0.25">
      <c r="A13" s="2"/>
      <c r="B13" s="5" t="s">
        <v>6</v>
      </c>
      <c r="C13" s="4">
        <v>15300</v>
      </c>
      <c r="D13" s="4">
        <v>3750</v>
      </c>
      <c r="E13" s="4">
        <v>600</v>
      </c>
      <c r="F13" s="4">
        <v>3000</v>
      </c>
      <c r="G13" s="3"/>
      <c r="H13" s="4">
        <v>129524</v>
      </c>
      <c r="I13" s="23">
        <f t="shared" si="0"/>
        <v>152174</v>
      </c>
    </row>
    <row r="14" spans="1:9" x14ac:dyDescent="0.25">
      <c r="A14" s="2"/>
      <c r="B14" s="5" t="s">
        <v>7</v>
      </c>
      <c r="C14" s="4">
        <v>9130</v>
      </c>
      <c r="D14" s="4">
        <v>3750</v>
      </c>
      <c r="E14" s="4">
        <v>500</v>
      </c>
      <c r="F14" s="4">
        <v>2000</v>
      </c>
      <c r="G14" s="3"/>
      <c r="H14" s="4">
        <v>131022</v>
      </c>
      <c r="I14" s="23">
        <f t="shared" si="0"/>
        <v>146402</v>
      </c>
    </row>
    <row r="15" spans="1:9" x14ac:dyDescent="0.25">
      <c r="A15" s="2"/>
      <c r="B15" s="5" t="s">
        <v>10</v>
      </c>
      <c r="C15" s="3"/>
      <c r="D15" s="4">
        <v>3750</v>
      </c>
      <c r="E15" s="4">
        <v>2000</v>
      </c>
      <c r="F15" s="4">
        <v>2000</v>
      </c>
      <c r="G15" s="3"/>
      <c r="H15" s="4">
        <v>140152</v>
      </c>
      <c r="I15" s="23">
        <f t="shared" si="0"/>
        <v>147902</v>
      </c>
    </row>
    <row r="16" spans="1:9" x14ac:dyDescent="0.25">
      <c r="A16" s="2"/>
      <c r="B16" s="5" t="s">
        <v>11</v>
      </c>
      <c r="C16" s="3"/>
      <c r="D16" s="4">
        <v>3750</v>
      </c>
      <c r="E16" s="4">
        <v>2000</v>
      </c>
      <c r="F16" s="4">
        <v>2000</v>
      </c>
      <c r="G16" s="3"/>
      <c r="H16" s="4">
        <v>140152</v>
      </c>
      <c r="I16" s="23">
        <f t="shared" si="0"/>
        <v>147902</v>
      </c>
    </row>
    <row r="17" spans="1:9" ht="12.75" customHeight="1" x14ac:dyDescent="0.25">
      <c r="A17" s="2"/>
      <c r="B17" s="5" t="s">
        <v>12</v>
      </c>
      <c r="C17" s="3"/>
      <c r="D17" s="4">
        <v>3750</v>
      </c>
      <c r="E17" s="4">
        <v>2000</v>
      </c>
      <c r="F17" s="4">
        <v>2000</v>
      </c>
      <c r="G17" s="3"/>
      <c r="H17" s="4">
        <v>29007</v>
      </c>
      <c r="I17" s="23">
        <f t="shared" si="0"/>
        <v>36757</v>
      </c>
    </row>
    <row r="18" spans="1:9" x14ac:dyDescent="0.25">
      <c r="A18" s="2"/>
      <c r="B18" s="6" t="s">
        <v>8</v>
      </c>
      <c r="C18" s="4">
        <v>11000</v>
      </c>
      <c r="D18" s="4">
        <v>32423</v>
      </c>
      <c r="E18" s="4">
        <v>2000</v>
      </c>
      <c r="F18" s="4">
        <v>600</v>
      </c>
      <c r="G18" s="3"/>
      <c r="H18" s="4">
        <v>113866</v>
      </c>
      <c r="I18" s="23">
        <f t="shared" si="0"/>
        <v>159889</v>
      </c>
    </row>
    <row r="19" spans="1:9" x14ac:dyDescent="0.25">
      <c r="A19" s="2"/>
      <c r="B19" s="5" t="s">
        <v>9</v>
      </c>
      <c r="C19" s="4">
        <v>13000</v>
      </c>
      <c r="D19" s="4">
        <v>31694</v>
      </c>
      <c r="E19" s="4">
        <v>1000</v>
      </c>
      <c r="F19" s="4">
        <v>3000</v>
      </c>
      <c r="G19" s="3"/>
      <c r="H19" s="4">
        <v>106133</v>
      </c>
      <c r="I19" s="23">
        <f t="shared" si="0"/>
        <v>154827</v>
      </c>
    </row>
    <row r="20" spans="1:9" x14ac:dyDescent="0.25">
      <c r="A20" s="2"/>
      <c r="B20" s="5" t="s">
        <v>13</v>
      </c>
      <c r="C20" s="3"/>
      <c r="D20" s="4">
        <v>21143</v>
      </c>
      <c r="E20" s="4">
        <v>400</v>
      </c>
      <c r="F20" s="4">
        <v>3000</v>
      </c>
      <c r="G20" s="3"/>
      <c r="H20" s="4">
        <v>78646</v>
      </c>
      <c r="I20" s="23">
        <f t="shared" si="0"/>
        <v>103189</v>
      </c>
    </row>
    <row r="21" spans="1:9" x14ac:dyDescent="0.25">
      <c r="A21" s="2"/>
      <c r="B21" s="5" t="s">
        <v>14</v>
      </c>
      <c r="C21" s="3"/>
      <c r="D21" s="4">
        <v>16678</v>
      </c>
      <c r="E21" s="4">
        <v>800</v>
      </c>
      <c r="F21" s="4">
        <v>1200</v>
      </c>
      <c r="G21" s="4">
        <v>5020</v>
      </c>
      <c r="H21" s="4">
        <v>57638</v>
      </c>
      <c r="I21" s="23">
        <f t="shared" si="0"/>
        <v>81336</v>
      </c>
    </row>
    <row r="22" spans="1:9" x14ac:dyDescent="0.25">
      <c r="A22" s="2"/>
      <c r="B22" s="5" t="s">
        <v>15</v>
      </c>
      <c r="C22" s="3"/>
      <c r="D22" s="4">
        <v>8479</v>
      </c>
      <c r="E22" s="4">
        <v>800</v>
      </c>
      <c r="F22" s="4">
        <v>1200</v>
      </c>
      <c r="G22" s="3"/>
      <c r="H22" s="4">
        <v>51006</v>
      </c>
      <c r="I22" s="23">
        <f t="shared" si="0"/>
        <v>61485</v>
      </c>
    </row>
    <row r="23" spans="1:9" x14ac:dyDescent="0.25">
      <c r="A23" s="2"/>
      <c r="B23" s="5" t="s">
        <v>16</v>
      </c>
      <c r="C23" s="3"/>
      <c r="D23" s="4">
        <v>3750</v>
      </c>
      <c r="E23" s="4">
        <v>1300</v>
      </c>
      <c r="F23" s="4">
        <v>1400</v>
      </c>
      <c r="G23" s="3"/>
      <c r="H23" s="4">
        <v>68290</v>
      </c>
      <c r="I23" s="23">
        <f t="shared" si="0"/>
        <v>74740</v>
      </c>
    </row>
    <row r="24" spans="1:9" x14ac:dyDescent="0.25">
      <c r="A24" s="2"/>
      <c r="B24" s="22" t="s">
        <v>28</v>
      </c>
      <c r="C24" s="23">
        <f>SUM(C10:C23)</f>
        <v>148730</v>
      </c>
      <c r="D24" s="23">
        <f t="shared" ref="D24:H24" si="1">SUM(D10:D23)</f>
        <v>191930</v>
      </c>
      <c r="E24" s="23">
        <f t="shared" si="1"/>
        <v>14000</v>
      </c>
      <c r="F24" s="23">
        <f t="shared" si="1"/>
        <v>27212</v>
      </c>
      <c r="G24" s="23">
        <f t="shared" si="1"/>
        <v>5020</v>
      </c>
      <c r="H24" s="23">
        <f t="shared" si="1"/>
        <v>1430905</v>
      </c>
      <c r="I24" s="23">
        <f t="shared" si="0"/>
        <v>1817797</v>
      </c>
    </row>
    <row r="25" spans="1:9" x14ac:dyDescent="0.25">
      <c r="A25" s="2"/>
      <c r="B25" s="11"/>
      <c r="C25" s="3"/>
      <c r="D25" s="3"/>
      <c r="E25" s="3"/>
      <c r="F25" s="3"/>
      <c r="G25" s="3"/>
      <c r="H25" s="3" t="s">
        <v>18</v>
      </c>
      <c r="I25" s="3"/>
    </row>
    <row r="26" spans="1:9" x14ac:dyDescent="0.25">
      <c r="A26" s="2"/>
      <c r="B26" s="9"/>
    </row>
    <row r="27" spans="1:9" x14ac:dyDescent="0.25">
      <c r="A27" s="2"/>
      <c r="B27" s="9"/>
    </row>
    <row r="28" spans="1:9" x14ac:dyDescent="0.25">
      <c r="A28" s="2"/>
      <c r="B28" s="9"/>
    </row>
    <row r="29" spans="1:9" ht="14.25" customHeight="1" x14ac:dyDescent="0.25">
      <c r="A29" s="2"/>
      <c r="B29" s="10"/>
    </row>
    <row r="30" spans="1:9" ht="14.25" customHeight="1" x14ac:dyDescent="0.25">
      <c r="A30" s="2"/>
      <c r="B30" s="9"/>
    </row>
    <row r="31" spans="1:9" ht="14.25" customHeight="1" x14ac:dyDescent="0.25">
      <c r="A31" s="2"/>
      <c r="B31" s="9"/>
    </row>
    <row r="32" spans="1:9" ht="14.25" customHeight="1" x14ac:dyDescent="0.25">
      <c r="A32" s="2"/>
      <c r="B32" s="9"/>
    </row>
    <row r="33" spans="1:2" x14ac:dyDescent="0.25">
      <c r="A33" s="2"/>
      <c r="B33" s="10"/>
    </row>
    <row r="34" spans="1:2" x14ac:dyDescent="0.25">
      <c r="A34" s="2"/>
      <c r="B34" s="10"/>
    </row>
    <row r="35" spans="1:2" x14ac:dyDescent="0.25">
      <c r="A35" s="2"/>
      <c r="B35" s="10"/>
    </row>
    <row r="36" spans="1:2" x14ac:dyDescent="0.25">
      <c r="A36" s="2"/>
      <c r="B36" s="10"/>
    </row>
    <row r="37" spans="1:2" x14ac:dyDescent="0.25">
      <c r="A37" s="2"/>
      <c r="B37" s="10"/>
    </row>
    <row r="38" spans="1:2" x14ac:dyDescent="0.25">
      <c r="A38" s="2"/>
      <c r="B38" s="10"/>
    </row>
    <row r="39" spans="1:2" x14ac:dyDescent="0.25">
      <c r="A39" s="2"/>
      <c r="B39" s="10"/>
    </row>
    <row r="40" spans="1:2" x14ac:dyDescent="0.25">
      <c r="A40" s="2"/>
      <c r="B40" s="10"/>
    </row>
    <row r="41" spans="1:2" x14ac:dyDescent="0.25">
      <c r="A41" s="2"/>
      <c r="B41" s="10"/>
    </row>
    <row r="42" spans="1:2" x14ac:dyDescent="0.25">
      <c r="A42" s="2"/>
      <c r="B42" s="10"/>
    </row>
    <row r="43" spans="1:2" x14ac:dyDescent="0.25">
      <c r="A43" s="2"/>
      <c r="B43" s="10"/>
    </row>
    <row r="44" spans="1:2" x14ac:dyDescent="0.25">
      <c r="A44" s="2"/>
      <c r="B44" s="9"/>
    </row>
    <row r="45" spans="1:2" x14ac:dyDescent="0.25">
      <c r="A45" s="2"/>
      <c r="B45" s="9"/>
    </row>
    <row r="46" spans="1:2" x14ac:dyDescent="0.25">
      <c r="A46" s="2"/>
      <c r="B46" s="9"/>
    </row>
    <row r="47" spans="1:2" x14ac:dyDescent="0.25">
      <c r="A47" s="2"/>
      <c r="B47" s="10"/>
    </row>
    <row r="48" spans="1:2" x14ac:dyDescent="0.25">
      <c r="A48" s="2"/>
      <c r="B48" s="10"/>
    </row>
    <row r="49" spans="1:2" x14ac:dyDescent="0.25">
      <c r="A49" s="2"/>
      <c r="B49" s="10"/>
    </row>
    <row r="50" spans="1:2" x14ac:dyDescent="0.25">
      <c r="A50" s="2"/>
      <c r="B50" s="10"/>
    </row>
    <row r="51" spans="1:2" x14ac:dyDescent="0.25">
      <c r="A51" s="2"/>
      <c r="B51" s="10"/>
    </row>
    <row r="52" spans="1:2" x14ac:dyDescent="0.25">
      <c r="A52" s="2"/>
      <c r="B52" s="10"/>
    </row>
    <row r="53" spans="1:2" x14ac:dyDescent="0.25">
      <c r="A53" s="2"/>
      <c r="B53" s="10"/>
    </row>
    <row r="54" spans="1:2" x14ac:dyDescent="0.25">
      <c r="A54" s="2"/>
      <c r="B54" s="10"/>
    </row>
    <row r="55" spans="1:2" x14ac:dyDescent="0.25">
      <c r="A55" s="2"/>
      <c r="B55" s="10"/>
    </row>
    <row r="56" spans="1:2" x14ac:dyDescent="0.25">
      <c r="A56" s="2"/>
      <c r="B56" s="10"/>
    </row>
    <row r="57" spans="1:2" x14ac:dyDescent="0.25">
      <c r="A57" s="2"/>
      <c r="B57" s="10"/>
    </row>
    <row r="58" spans="1:2" x14ac:dyDescent="0.25">
      <c r="A58" s="2"/>
      <c r="B58" s="10"/>
    </row>
    <row r="59" spans="1:2" x14ac:dyDescent="0.25">
      <c r="A59" s="2"/>
      <c r="B59" s="9"/>
    </row>
    <row r="60" spans="1:2" x14ac:dyDescent="0.25">
      <c r="A60" s="2"/>
      <c r="B60" s="9"/>
    </row>
    <row r="61" spans="1:2" ht="12.75" customHeight="1" x14ac:dyDescent="0.25">
      <c r="A61" s="2"/>
      <c r="B61" s="9"/>
    </row>
    <row r="62" spans="1:2" ht="12.75" customHeight="1" x14ac:dyDescent="0.25">
      <c r="A62" s="2"/>
      <c r="B62" s="9"/>
    </row>
    <row r="63" spans="1:2" ht="12.75" customHeight="1" x14ac:dyDescent="0.25">
      <c r="A63" s="2"/>
      <c r="B63" s="9"/>
    </row>
    <row r="64" spans="1:2" ht="12.75" customHeight="1" x14ac:dyDescent="0.25">
      <c r="A64" s="2"/>
      <c r="B64" s="9"/>
    </row>
    <row r="65" spans="1:2" x14ac:dyDescent="0.25">
      <c r="A65" s="2"/>
      <c r="B65" s="8"/>
    </row>
    <row r="66" spans="1:2" x14ac:dyDescent="0.25">
      <c r="A66" s="2"/>
      <c r="B66" s="8"/>
    </row>
    <row r="67" spans="1:2" x14ac:dyDescent="0.25">
      <c r="A67" s="2"/>
      <c r="B67" s="8"/>
    </row>
    <row r="68" spans="1:2" x14ac:dyDescent="0.25">
      <c r="A68" s="2"/>
      <c r="B68" s="8"/>
    </row>
    <row r="69" spans="1:2" x14ac:dyDescent="0.25">
      <c r="A69" s="2"/>
      <c r="B69" s="8"/>
    </row>
    <row r="70" spans="1:2" x14ac:dyDescent="0.25">
      <c r="A70" s="2"/>
      <c r="B70" s="8"/>
    </row>
    <row r="71" spans="1:2" x14ac:dyDescent="0.25">
      <c r="A71" s="2"/>
      <c r="B71" s="8"/>
    </row>
    <row r="72" spans="1:2" x14ac:dyDescent="0.25">
      <c r="A72" s="2"/>
      <c r="B72" s="8"/>
    </row>
    <row r="73" spans="1:2" x14ac:dyDescent="0.25">
      <c r="A73" s="2"/>
      <c r="B73" s="8"/>
    </row>
    <row r="74" spans="1:2" x14ac:dyDescent="0.25">
      <c r="A74" s="2"/>
      <c r="B74" s="8"/>
    </row>
    <row r="75" spans="1:2" x14ac:dyDescent="0.25">
      <c r="A75" s="2"/>
      <c r="B75" s="8"/>
    </row>
    <row r="76" spans="1:2" x14ac:dyDescent="0.25">
      <c r="A76" s="2"/>
      <c r="B76" s="8"/>
    </row>
    <row r="77" spans="1:2" x14ac:dyDescent="0.25">
      <c r="A77" s="2"/>
      <c r="B77" s="8"/>
    </row>
    <row r="78" spans="1:2" x14ac:dyDescent="0.25">
      <c r="A78" s="2"/>
      <c r="B78" s="9"/>
    </row>
    <row r="79" spans="1:2" x14ac:dyDescent="0.25">
      <c r="A79" s="2"/>
      <c r="B79" s="10"/>
    </row>
    <row r="80" spans="1:2" x14ac:dyDescent="0.25">
      <c r="A80" s="2"/>
      <c r="B80" s="9"/>
    </row>
    <row r="81" spans="1:2" x14ac:dyDescent="0.25">
      <c r="A81" s="2"/>
      <c r="B81" s="9"/>
    </row>
  </sheetData>
  <mergeCells count="8">
    <mergeCell ref="B5:C5"/>
    <mergeCell ref="B7:C7"/>
    <mergeCell ref="B6:C6"/>
    <mergeCell ref="E3:I7"/>
    <mergeCell ref="B3:C3"/>
    <mergeCell ref="B2:I2"/>
    <mergeCell ref="B1:I1"/>
    <mergeCell ref="B4:C4"/>
  </mergeCells>
  <pageMargins left="0.86614173228346458" right="0.47244094488188981" top="0.19685039370078741" bottom="0.15748031496062992" header="0.19685039370078741" footer="0.19685039370078741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Sumamry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Analyst</dc:creator>
  <cp:lastModifiedBy>System Analyst</cp:lastModifiedBy>
  <dcterms:created xsi:type="dcterms:W3CDTF">2026-08-10T05:35:50Z</dcterms:created>
  <dcterms:modified xsi:type="dcterms:W3CDTF">2026-08-10T10:56:10Z</dcterms:modified>
</cp:coreProperties>
</file>