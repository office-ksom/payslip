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555" windowWidth="19440" windowHeight="9525"/>
  </bookViews>
  <sheets>
    <sheet sheetId="11" name="Pay Bill" state="visible" r:id="rId4"/>
    <sheet sheetId="16" name="DV-IDENTITY-0" state="veryHidden" r:id="rId5"/>
  </sheets>
  <calcPr calcId="171027"/>
</workbook>
</file>

<file path=xl/sharedStrings.xml><?xml version="1.0" encoding="utf-8"?>
<sst xmlns="http://schemas.openxmlformats.org/spreadsheetml/2006/main" count="25" uniqueCount="24">
  <si>
    <t>Kerala School of Mathematics</t>
  </si>
  <si>
    <t>Kunnamangalam PO, Kozhikode</t>
  </si>
  <si>
    <t xml:space="preserve">Pay Bill Statement for the Month of </t>
  </si>
  <si>
    <t>EARNINGS</t>
  </si>
  <si>
    <t>Sl.No.</t>
  </si>
  <si>
    <t>Name of Employee</t>
  </si>
  <si>
    <t>Designation</t>
  </si>
  <si>
    <t>Scale of Pay</t>
  </si>
  <si>
    <t>Basic</t>
  </si>
  <si>
    <t>GP/DP</t>
  </si>
  <si>
    <t>DA</t>
  </si>
  <si>
    <t>HRA</t>
  </si>
  <si>
    <t>CCA</t>
  </si>
  <si>
    <t>Spl.Pay/Deput.Allow</t>
  </si>
  <si>
    <t>Tr. Allow+DA</t>
  </si>
  <si>
    <t>Fest. Allow</t>
  </si>
  <si>
    <t>Others</t>
  </si>
  <si>
    <t>Gross Pay</t>
  </si>
  <si>
    <t>John Doe</t>
  </si>
  <si>
    <t>Professor</t>
  </si>
  <si>
    <t>10000-20000</t>
  </si>
  <si>
    <t>UGC/CSIR - DA Rate (%) 7th CPC</t>
  </si>
  <si>
    <t>State DA (%) 11th Pay</t>
  </si>
  <si>
    <t>AAAAAFBt1Zo=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</si>
</sst>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Arial Narrow"/>
    </font>
    <font>
      <b/>
      <color theme="1"/>
      <family val="2"/>
      <sz val="12"/>
      <name val="Arial Narrow"/>
    </font>
    <font>
      <color theme="1"/>
      <family val="2"/>
      <sz val="10"/>
      <name val="Arial Narrow"/>
    </font>
    <font>
      <b/>
      <sz val="10"/>
      <name val="Arial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 zoomScale="100" zoomScaleNormal="100">
      <selection activeCell="G53" sqref="G53"/>
    </sheetView>
  </sheetViews>
  <sheetFormatPr defaultRowHeight="15" outlineLevelRow="0" outlineLevelCol="0" x14ac:dyDescent="0.25" defaultColWidth="9.140625"/>
  <cols>
    <col min="1" max="1" width="6.28515625" customWidth="1"/>
    <col min="2" max="2" width="27.28515625" customWidth="1"/>
    <col min="3" max="3" width="19.42578125" customWidth="1"/>
    <col min="4" max="4" width="20.7109375" customWidth="1"/>
    <col min="5" max="5" width="9.5703125" customWidth="1"/>
    <col min="6" max="6" width="8.42578125" customWidth="1"/>
    <col min="7" max="7" width="9.42578125" customWidth="1"/>
    <col min="8" max="8" width="10.42578125" customWidth="1"/>
    <col min="9" max="9" width="8.5703125" customWidth="1"/>
    <col min="10" max="10" width="13.85546875" customWidth="1"/>
    <col min="11" max="11" width="12.42578125" customWidth="1"/>
    <col min="12" max="12" width="14.28515625" customWidth="1"/>
    <col min="13" max="13" width="9.7109375" customWidth="1"/>
    <col min="14" max="14" width="10.140625" customWidth="1"/>
    <col min="15" max="16384" width="9.140625" customWidth="1"/>
  </cols>
  <sheetData>
    <row r="1" ht="21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.5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5"/>
      <c r="N3" s="5"/>
    </row>
    <row r="4" ht="18" customHeight="1" spans="1:14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28.5" customHeight="1" spans="1:14" x14ac:dyDescent="0.25">
      <c r="A5" s="7" t="s">
        <v>4</v>
      </c>
      <c r="B5" s="7" t="s">
        <v>5</v>
      </c>
      <c r="C5" s="8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9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 x14ac:dyDescent="0.25">
      <c r="A6" s="10">
        <v>1</v>
      </c>
      <c r="B6" s="10" t="s">
        <v>18</v>
      </c>
      <c r="C6" s="10" t="s">
        <v>19</v>
      </c>
      <c r="D6" s="10" t="s">
        <v>20</v>
      </c>
      <c r="E6" s="10">
        <v>5000</v>
      </c>
      <c r="F6" s="10">
        <v>1000</v>
      </c>
      <c r="G6" s="10">
        <v>500</v>
      </c>
      <c r="H6" s="10">
        <v>200</v>
      </c>
      <c r="I6" s="10">
        <v>100</v>
      </c>
      <c r="J6" s="10">
        <v>0</v>
      </c>
      <c r="K6" s="10">
        <v>0</v>
      </c>
      <c r="L6" s="10">
        <v>0</v>
      </c>
      <c r="M6" s="10">
        <v>0</v>
      </c>
      <c r="N6" s="10">
        <v>6800</v>
      </c>
    </row>
    <row r="8" spans="3:4" x14ac:dyDescent="0.25">
      <c r="C8" s="11" t="s">
        <v>21</v>
      </c>
      <c r="D8" s="11">
        <v>50</v>
      </c>
    </row>
    <row r="9" spans="3:4" x14ac:dyDescent="0.25">
      <c r="C9" s="11" t="s">
        <v>22</v>
      </c>
      <c r="D9" s="11">
        <v>46</v>
      </c>
    </row>
    <row r="10" spans="3:4" x14ac:dyDescent="0.25">
      <c r="C10" s="11" t="s">
        <v>17</v>
      </c>
      <c r="D10" s="11">
        <v>6800</v>
      </c>
    </row>
  </sheetData>
  <mergeCells count="4">
    <mergeCell ref="A1:N1"/>
    <mergeCell ref="A2:N2"/>
    <mergeCell ref="A3:J3"/>
    <mergeCell ref="A4:N4"/>
  </mergeCells>
  <pageMargins left="0.15748031496062992" right="0.15748031496062992" top="0.15748031496062992" bottom="0.15748031496062992" header="0.15748031496062992" footer="0.15748031496062992"/>
  <pageSetup paperSize="9" orientation="landscape" horizontalDpi="4294967295" verticalDpi="4294967295" scale="78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2"/>
  <sheetViews>
    <sheetView workbookViewId="0" zoomScale="100" zoomScaleNormal="100">
      <selection activeCell="EY4" sqref="EY4"/>
    </sheetView>
  </sheetViews>
  <sheetFormatPr defaultRowHeight="15" outlineLevelRow="0" outlineLevelCol="0" x14ac:dyDescent="0.25"/>
  <sheetData>
    <row r="1" spans="1:256" x14ac:dyDescent="0.25">
      <c r="A1" t="e">
        <f>IF('Pay Bill'!1:1,"AAAAAHxdzQA=",0)</f>
        <v>#VALUE!</v>
      </c>
      <c r="B1" t="e">
        <f>AND('Pay Bill'!A1,"AAAAAHxdzQE=")</f>
        <v>#VALUE!</v>
      </c>
      <c r="C1" t="e">
        <f>AND('Pay Bill'!B1,"AAAAAHxdzQI=")</f>
        <v>#VALUE!</v>
      </c>
      <c r="D1" t="e">
        <f>AND('Pay Bill'!C1,"AAAAAHxdzQM=")</f>
        <v>#VALUE!</v>
      </c>
      <c r="E1" t="e">
        <f>AND('Pay Bill'!D1,"AAAAAHxdzQQ=")</f>
        <v>#VALUE!</v>
      </c>
      <c r="F1" t="e">
        <f>AND('Pay Bill'!E1,"AAAAAHxdzQU=")</f>
        <v>#VALUE!</v>
      </c>
      <c r="G1" t="e">
        <f>AND('Pay Bill'!F1,"AAAAAHxdzQY=")</f>
        <v>#VALUE!</v>
      </c>
      <c r="H1" t="e">
        <f>AND('Pay Bill'!G1,"AAAAAHxdzQc=")</f>
        <v>#VALUE!</v>
      </c>
      <c r="I1" t="e">
        <f>AND('Pay Bill'!H1,"AAAAAHxdzQg=")</f>
        <v>#VALUE!</v>
      </c>
      <c r="J1" t="e">
        <f>AND('Pay Bill'!I1,"AAAAAHxdzQk=")</f>
        <v>#VALUE!</v>
      </c>
      <c r="K1" t="e">
        <f>AND('Pay Bill'!J1,"AAAAAHxdzQo=")</f>
        <v>#VALUE!</v>
      </c>
      <c r="L1" t="e">
        <f>AND('Pay Bill'!#REF!,"AAAAAHxdzQs=")</f>
        <v>#REF!</v>
      </c>
      <c r="M1" t="e">
        <f>AND('Pay Bill'!#REF!,"AAAAAHxdzQw=")</f>
        <v>#REF!</v>
      </c>
      <c r="N1" t="e">
        <f>AND('Pay Bill'!#REF!,"AAAAAHxdzQ0=")</f>
        <v>#REF!</v>
      </c>
      <c r="O1" t="e">
        <f>AND('Pay Bill'!K1,"AAAAAHxdzQ4=")</f>
        <v>#VALUE!</v>
      </c>
      <c r="P1" t="e">
        <f>AND('Pay Bill'!L1,"AAAAAHxdzQ8=")</f>
        <v>#VALUE!</v>
      </c>
      <c r="Q1" t="e">
        <f>AND('Pay Bill'!M1,"AAAAAHxdzRA=")</f>
        <v>#VALUE!</v>
      </c>
      <c r="R1" t="e">
        <f>AND('Pay Bill'!#REF!,"AAAAAHxdzRE=")</f>
        <v>#REF!</v>
      </c>
      <c r="S1" t="e">
        <f>AND('Pay Bill'!#REF!,"AAAAAHxdzRI=")</f>
        <v>#REF!</v>
      </c>
      <c r="T1" t="e">
        <f>AND('Pay Bill'!#REF!,"AAAAAHxdzRM=")</f>
        <v>#REF!</v>
      </c>
      <c r="U1" t="e">
        <f>AND('Pay Bill'!#REF!,"AAAAAHxdzRQ=")</f>
        <v>#REF!</v>
      </c>
      <c r="V1" t="e">
        <f>AND('Pay Bill'!N1,"AAAAAHxdzRU=")</f>
        <v>#VALUE!</v>
      </c>
      <c r="W1">
        <f>IF('Pay Bill'!2:2,"AAAAAHxdzRY=",0)</f>
        <v>0</v>
      </c>
      <c r="X1" t="e">
        <f>AND('Pay Bill'!A2,"AAAAAHxdzRc=")</f>
        <v>#VALUE!</v>
      </c>
      <c r="Y1" t="e">
        <f>AND('Pay Bill'!B2,"AAAAAHxdzRg=")</f>
        <v>#VALUE!</v>
      </c>
      <c r="Z1" t="e">
        <f>AND('Pay Bill'!C2,"AAAAAHxdzRk=")</f>
        <v>#VALUE!</v>
      </c>
      <c r="AA1" t="e">
        <f>AND('Pay Bill'!D2,"AAAAAHxdzRo=")</f>
        <v>#VALUE!</v>
      </c>
      <c r="AB1" t="e">
        <f>AND('Pay Bill'!E2,"AAAAAHxdzRs=")</f>
        <v>#VALUE!</v>
      </c>
      <c r="AC1" t="e">
        <f>AND('Pay Bill'!F2,"AAAAAHxdzRw=")</f>
        <v>#VALUE!</v>
      </c>
      <c r="AD1" t="e">
        <f>AND('Pay Bill'!G2,"AAAAAHxdzR0=")</f>
        <v>#VALUE!</v>
      </c>
      <c r="AE1" t="e">
        <f>AND('Pay Bill'!H2,"AAAAAHxdzR4=")</f>
        <v>#VALUE!</v>
      </c>
      <c r="AF1" t="e">
        <f>AND('Pay Bill'!I2,"AAAAAHxdzR8=")</f>
        <v>#VALUE!</v>
      </c>
      <c r="AG1" t="e">
        <f>AND('Pay Bill'!J2,"AAAAAHxdzSA=")</f>
        <v>#VALUE!</v>
      </c>
      <c r="AH1" t="e">
        <f>AND('Pay Bill'!#REF!,"AAAAAHxdzSE=")</f>
        <v>#REF!</v>
      </c>
      <c r="AI1" t="e">
        <f>AND('Pay Bill'!#REF!,"AAAAAHxdzSI=")</f>
        <v>#REF!</v>
      </c>
      <c r="AJ1" t="e">
        <f>AND('Pay Bill'!#REF!,"AAAAAHxdzSM=")</f>
        <v>#REF!</v>
      </c>
      <c r="AK1" t="e">
        <f>AND('Pay Bill'!K2,"AAAAAHxdzSQ=")</f>
        <v>#VALUE!</v>
      </c>
      <c r="AL1" t="e">
        <f>AND('Pay Bill'!L2,"AAAAAHxdzSU=")</f>
        <v>#VALUE!</v>
      </c>
      <c r="AM1" t="e">
        <f>AND('Pay Bill'!M2,"AAAAAHxdzSY=")</f>
        <v>#VALUE!</v>
      </c>
      <c r="AN1" t="e">
        <f>AND('Pay Bill'!#REF!,"AAAAAHxdzSc=")</f>
        <v>#REF!</v>
      </c>
      <c r="AO1" t="e">
        <f>AND('Pay Bill'!#REF!,"AAAAAHxdzSg=")</f>
        <v>#REF!</v>
      </c>
      <c r="AP1" t="e">
        <f>AND('Pay Bill'!#REF!,"AAAAAHxdzSk=")</f>
        <v>#REF!</v>
      </c>
      <c r="AQ1" t="e">
        <f>AND('Pay Bill'!#REF!,"AAAAAHxdzSo=")</f>
        <v>#REF!</v>
      </c>
      <c r="AR1" t="e">
        <f>AND('Pay Bill'!N2,"AAAAAHxdzSs=")</f>
        <v>#VALUE!</v>
      </c>
      <c r="AS1" t="e">
        <f>IF('Pay Bill'!#REF!,"AAAAAHxdzSw=",0)</f>
        <v>#REF!</v>
      </c>
      <c r="AT1" t="e">
        <f>AND('Pay Bill'!#REF!,"AAAAAHxdzS0=")</f>
        <v>#REF!</v>
      </c>
      <c r="AU1" t="e">
        <f>AND('Pay Bill'!#REF!,"AAAAAHxdzS4=")</f>
        <v>#REF!</v>
      </c>
      <c r="AV1" t="e">
        <f>AND('Pay Bill'!#REF!,"AAAAAHxdzS8=")</f>
        <v>#REF!</v>
      </c>
      <c r="AW1" t="e">
        <f>AND('Pay Bill'!#REF!,"AAAAAHxdzTA=")</f>
        <v>#REF!</v>
      </c>
      <c r="AX1" t="e">
        <f>AND('Pay Bill'!#REF!,"AAAAAHxdzTE=")</f>
        <v>#REF!</v>
      </c>
      <c r="AY1" t="e">
        <f>AND('Pay Bill'!#REF!,"AAAAAHxdzTI=")</f>
        <v>#REF!</v>
      </c>
      <c r="AZ1" t="e">
        <f>AND('Pay Bill'!#REF!,"AAAAAHxdzTM=")</f>
        <v>#REF!</v>
      </c>
      <c r="BA1" t="e">
        <f>AND('Pay Bill'!#REF!,"AAAAAHxdzTQ=")</f>
        <v>#REF!</v>
      </c>
      <c r="BB1" t="e">
        <f>AND('Pay Bill'!#REF!,"AAAAAHxdzTU=")</f>
        <v>#REF!</v>
      </c>
      <c r="BC1" t="e">
        <f>AND('Pay Bill'!#REF!,"AAAAAHxdzTY=")</f>
        <v>#REF!</v>
      </c>
      <c r="BD1" t="e">
        <f>AND('Pay Bill'!#REF!,"AAAAAHxdzTc=")</f>
        <v>#REF!</v>
      </c>
      <c r="BE1" t="e">
        <f>AND('Pay Bill'!#REF!,"AAAAAHxdzTg=")</f>
        <v>#REF!</v>
      </c>
      <c r="BF1" t="e">
        <f>AND('Pay Bill'!#REF!,"AAAAAHxdzTk=")</f>
        <v>#REF!</v>
      </c>
      <c r="BG1" t="e">
        <f>AND('Pay Bill'!#REF!,"AAAAAHxdzTo=")</f>
        <v>#REF!</v>
      </c>
      <c r="BH1" t="e">
        <f>AND('Pay Bill'!#REF!,"AAAAAHxdzTs=")</f>
        <v>#REF!</v>
      </c>
      <c r="BI1" t="e">
        <f>AND('Pay Bill'!#REF!,"AAAAAHxdzTw=")</f>
        <v>#REF!</v>
      </c>
      <c r="BJ1" t="e">
        <f>AND('Pay Bill'!#REF!,"AAAAAHxdzT0=")</f>
        <v>#REF!</v>
      </c>
      <c r="BK1" t="e">
        <f>AND('Pay Bill'!#REF!,"AAAAAHxdzT4=")</f>
        <v>#REF!</v>
      </c>
      <c r="BL1" t="e">
        <f>AND('Pay Bill'!#REF!,"AAAAAHxdzT8=")</f>
        <v>#REF!</v>
      </c>
      <c r="BM1" t="e">
        <f>AND('Pay Bill'!#REF!,"AAAAAHxdzUA=")</f>
        <v>#REF!</v>
      </c>
      <c r="BN1" t="e">
        <f>AND('Pay Bill'!#REF!,"AAAAAHxdzUE=")</f>
        <v>#REF!</v>
      </c>
      <c r="BO1">
        <f>IF('Pay Bill'!3:3,"AAAAAHxdzUI=",0)</f>
        <v>0</v>
      </c>
      <c r="BP1" t="e">
        <f>AND('Pay Bill'!A3,"AAAAAHxdzUM=")</f>
        <v>#VALUE!</v>
      </c>
      <c r="BQ1" t="e">
        <f>AND('Pay Bill'!B3,"AAAAAHxdzUQ=")</f>
        <v>#VALUE!</v>
      </c>
      <c r="BR1" t="e">
        <f>AND('Pay Bill'!C3,"AAAAAHxdzUU=")</f>
        <v>#VALUE!</v>
      </c>
      <c r="BS1" t="e">
        <f>AND('Pay Bill'!D3,"AAAAAHxdzUY=")</f>
        <v>#VALUE!</v>
      </c>
      <c r="BT1" t="e">
        <f>AND('Pay Bill'!E3,"AAAAAHxdzUc=")</f>
        <v>#VALUE!</v>
      </c>
      <c r="BU1" t="e">
        <f>AND('Pay Bill'!F3,"AAAAAHxdzUg=")</f>
        <v>#VALUE!</v>
      </c>
      <c r="BV1" t="e">
        <f>AND('Pay Bill'!G3,"AAAAAHxdzUk=")</f>
        <v>#VALUE!</v>
      </c>
      <c r="BW1" t="e">
        <f>AND('Pay Bill'!H3,"AAAAAHxdzUo=")</f>
        <v>#VALUE!</v>
      </c>
      <c r="BX1" t="e">
        <f>AND('Pay Bill'!I3,"AAAAAHxdzUs=")</f>
        <v>#VALUE!</v>
      </c>
      <c r="BY1" t="e">
        <f>AND('Pay Bill'!J3,"AAAAAHxdzUw=")</f>
        <v>#VALUE!</v>
      </c>
      <c r="BZ1" t="e">
        <f>AND('Pay Bill'!#REF!,"AAAAAHxdzU0=")</f>
        <v>#REF!</v>
      </c>
      <c r="CA1" t="e">
        <f>AND('Pay Bill'!#REF!,"AAAAAHxdzU4=")</f>
        <v>#REF!</v>
      </c>
      <c r="CB1" t="e">
        <f>AND('Pay Bill'!#REF!,"AAAAAHxdzU8=")</f>
        <v>#REF!</v>
      </c>
      <c r="CC1" t="e">
        <f>AND('Pay Bill'!K3,"AAAAAHxdzVA=")</f>
        <v>#VALUE!</v>
      </c>
      <c r="CD1" t="e">
        <f>AND('Pay Bill'!L3,"AAAAAHxdzVE=")</f>
        <v>#VALUE!</v>
      </c>
      <c r="CE1" t="e">
        <f>AND('Pay Bill'!M3,"AAAAAHxdzVI=")</f>
        <v>#VALUE!</v>
      </c>
      <c r="CF1" t="e">
        <f>AND('Pay Bill'!#REF!,"AAAAAHxdzVM=")</f>
        <v>#REF!</v>
      </c>
      <c r="CG1" t="e">
        <f>AND('Pay Bill'!#REF!,"AAAAAHxdzVQ=")</f>
        <v>#REF!</v>
      </c>
      <c r="CH1" t="e">
        <f>AND('Pay Bill'!#REF!,"AAAAAHxdzVU=")</f>
        <v>#REF!</v>
      </c>
      <c r="CI1" t="e">
        <f>AND('Pay Bill'!#REF!,"AAAAAHxdzVY=")</f>
        <v>#REF!</v>
      </c>
      <c r="CJ1" t="e">
        <f>AND('Pay Bill'!N3,"AAAAAHxdzVc=")</f>
        <v>#VALUE!</v>
      </c>
      <c r="CK1">
        <f>IF('Pay Bill'!4:4,"AAAAAHxdzVg=",0)</f>
        <v>0</v>
      </c>
      <c r="CL1" t="e">
        <f>AND('Pay Bill'!A4,"AAAAAHxdzVk=")</f>
        <v>#VALUE!</v>
      </c>
      <c r="CM1" t="e">
        <f>AND('Pay Bill'!B4,"AAAAAHxdzVo=")</f>
        <v>#VALUE!</v>
      </c>
      <c r="CN1" t="e">
        <f>AND('Pay Bill'!C4,"AAAAAHxdzVs=")</f>
        <v>#VALUE!</v>
      </c>
      <c r="CO1" t="e">
        <f>AND('Pay Bill'!D4,"AAAAAHxdzVw=")</f>
        <v>#VALUE!</v>
      </c>
      <c r="CP1" t="e">
        <f>AND('Pay Bill'!E4,"AAAAAHxdzV0=")</f>
        <v>#VALUE!</v>
      </c>
      <c r="CQ1" t="e">
        <f>AND('Pay Bill'!F4,"AAAAAHxdzV4=")</f>
        <v>#VALUE!</v>
      </c>
      <c r="CR1" t="e">
        <f>AND('Pay Bill'!G4,"AAAAAHxdzV8=")</f>
        <v>#VALUE!</v>
      </c>
      <c r="CS1" t="e">
        <f>AND('Pay Bill'!H4,"AAAAAHxdzWA=")</f>
        <v>#VALUE!</v>
      </c>
      <c r="CT1" t="e">
        <f>AND('Pay Bill'!I4,"AAAAAHxdzWE=")</f>
        <v>#VALUE!</v>
      </c>
      <c r="CU1" t="e">
        <f>AND('Pay Bill'!J4,"AAAAAHxdzWI=")</f>
        <v>#VALUE!</v>
      </c>
      <c r="CV1" t="e">
        <f>AND('Pay Bill'!#REF!,"AAAAAHxdzWM=")</f>
        <v>#REF!</v>
      </c>
      <c r="CW1" t="e">
        <f>AND('Pay Bill'!#REF!,"AAAAAHxdzWQ=")</f>
        <v>#REF!</v>
      </c>
      <c r="CX1" t="e">
        <f>AND('Pay Bill'!#REF!,"AAAAAHxdzWU=")</f>
        <v>#REF!</v>
      </c>
      <c r="CY1" t="e">
        <f>AND('Pay Bill'!K4,"AAAAAHxdzWY=")</f>
        <v>#VALUE!</v>
      </c>
      <c r="CZ1" t="e">
        <f>AND('Pay Bill'!L4,"AAAAAHxdzWc=")</f>
        <v>#VALUE!</v>
      </c>
      <c r="DA1" t="e">
        <f>AND('Pay Bill'!M4,"AAAAAHxdzWg=")</f>
        <v>#VALUE!</v>
      </c>
      <c r="DB1" t="e">
        <f>AND('Pay Bill'!#REF!,"AAAAAHxdzWk=")</f>
        <v>#REF!</v>
      </c>
      <c r="DC1" t="e">
        <f>AND('Pay Bill'!#REF!,"AAAAAHxdzWo=")</f>
        <v>#REF!</v>
      </c>
      <c r="DD1" t="e">
        <f>AND('Pay Bill'!#REF!,"AAAAAHxdzWs=")</f>
        <v>#REF!</v>
      </c>
      <c r="DE1" t="e">
        <f>AND('Pay Bill'!#REF!,"AAAAAHxdzWw=")</f>
        <v>#REF!</v>
      </c>
      <c r="DF1" t="e">
        <f>AND('Pay Bill'!N4,"AAAAAHxdzW0=")</f>
        <v>#VALUE!</v>
      </c>
      <c r="DG1">
        <f>IF('Pay Bill'!5:5,"AAAAAHxdzW4=",0)</f>
        <v>0</v>
      </c>
      <c r="DH1" t="e">
        <f>AND('Pay Bill'!A5,"AAAAAHxdzW8=")</f>
        <v>#VALUE!</v>
      </c>
      <c r="DI1" t="e">
        <f>AND('Pay Bill'!B5,"AAAAAHxdzXA=")</f>
        <v>#VALUE!</v>
      </c>
      <c r="DJ1" t="e">
        <f>AND('Pay Bill'!C5,"AAAAAHxdzXE=")</f>
        <v>#VALUE!</v>
      </c>
      <c r="DK1" t="e">
        <f>AND('Pay Bill'!D5,"AAAAAHxdzXI=")</f>
        <v>#VALUE!</v>
      </c>
      <c r="DL1" t="e">
        <f>AND('Pay Bill'!E5,"AAAAAHxdzXM=")</f>
        <v>#VALUE!</v>
      </c>
      <c r="DM1" t="e">
        <f>AND('Pay Bill'!F5,"AAAAAHxdzXQ=")</f>
        <v>#VALUE!</v>
      </c>
      <c r="DN1" t="e">
        <f>AND('Pay Bill'!G5,"AAAAAHxdzXU=")</f>
        <v>#VALUE!</v>
      </c>
      <c r="DO1" t="e">
        <f>AND('Pay Bill'!H5,"AAAAAHxdzXY=")</f>
        <v>#VALUE!</v>
      </c>
      <c r="DP1" t="e">
        <f>AND('Pay Bill'!I5,"AAAAAHxdzXc=")</f>
        <v>#VALUE!</v>
      </c>
      <c r="DQ1" t="e">
        <f>AND('Pay Bill'!J5,"AAAAAHxdzXg=")</f>
        <v>#VALUE!</v>
      </c>
      <c r="DR1" t="e">
        <f>AND('Pay Bill'!#REF!,"AAAAAHxdzXk=")</f>
        <v>#REF!</v>
      </c>
      <c r="DS1" t="e">
        <f>AND('Pay Bill'!#REF!,"AAAAAHxdzXo=")</f>
        <v>#REF!</v>
      </c>
      <c r="DT1" t="e">
        <f>AND('Pay Bill'!#REF!,"AAAAAHxdzXs=")</f>
        <v>#REF!</v>
      </c>
      <c r="DU1" t="e">
        <f>AND('Pay Bill'!K5,"AAAAAHxdzXw=")</f>
        <v>#VALUE!</v>
      </c>
      <c r="DV1" t="e">
        <f>AND('Pay Bill'!L5,"AAAAAHxdzX0=")</f>
        <v>#VALUE!</v>
      </c>
      <c r="DW1" t="e">
        <f>AND('Pay Bill'!M5,"AAAAAHxdzX4=")</f>
        <v>#VALUE!</v>
      </c>
      <c r="DX1" t="e">
        <f>AND('Pay Bill'!#REF!,"AAAAAHxdzX8=")</f>
        <v>#REF!</v>
      </c>
      <c r="DY1" t="e">
        <f>AND('Pay Bill'!#REF!,"AAAAAHxdzYA=")</f>
        <v>#REF!</v>
      </c>
      <c r="DZ1" t="e">
        <f>AND('Pay Bill'!#REF!,"AAAAAHxdzYE=")</f>
        <v>#REF!</v>
      </c>
      <c r="EA1" t="e">
        <f>AND('Pay Bill'!#REF!,"AAAAAHxdzYI=")</f>
        <v>#REF!</v>
      </c>
      <c r="EB1" t="e">
        <f>AND('Pay Bill'!N5,"AAAAAHxdzYM=")</f>
        <v>#VALUE!</v>
      </c>
      <c r="EC1" t="e">
        <f>IF('Pay Bill'!#REF!,"AAAAAHxdzYQ=",0)</f>
        <v>#REF!</v>
      </c>
      <c r="ED1" t="e">
        <f>AND('Pay Bill'!#REF!,"AAAAAHxdzYU=")</f>
        <v>#REF!</v>
      </c>
      <c r="EE1" t="e">
        <f>AND('Pay Bill'!#REF!,"AAAAAHxdzYY=")</f>
        <v>#REF!</v>
      </c>
      <c r="EF1" t="e">
        <f>AND('Pay Bill'!#REF!,"AAAAAHxdzYc=")</f>
        <v>#REF!</v>
      </c>
      <c r="EG1" t="e">
        <f>AND('Pay Bill'!#REF!,"AAAAAHxdzYg=")</f>
        <v>#REF!</v>
      </c>
      <c r="EH1" t="e">
        <f>AND('Pay Bill'!#REF!,"AAAAAHxdzYk=")</f>
        <v>#REF!</v>
      </c>
      <c r="EI1" t="e">
        <f>AND('Pay Bill'!#REF!,"AAAAAHxdzYo=")</f>
        <v>#REF!</v>
      </c>
      <c r="EJ1" t="e">
        <f>AND('Pay Bill'!#REF!,"AAAAAHxdzYs=")</f>
        <v>#REF!</v>
      </c>
      <c r="EK1" t="e">
        <f>AND('Pay Bill'!#REF!,"AAAAAHxdzYw=")</f>
        <v>#REF!</v>
      </c>
      <c r="EL1" t="e">
        <f>AND('Pay Bill'!#REF!,"AAAAAHxdzY0=")</f>
        <v>#REF!</v>
      </c>
      <c r="EM1" t="e">
        <f>AND('Pay Bill'!#REF!,"AAAAAHxdzY4=")</f>
        <v>#REF!</v>
      </c>
      <c r="EN1" t="e">
        <f>AND('Pay Bill'!#REF!,"AAAAAHxdzY8=")</f>
        <v>#REF!</v>
      </c>
      <c r="EO1" t="e">
        <f>AND('Pay Bill'!#REF!,"AAAAAHxdzZA=")</f>
        <v>#REF!</v>
      </c>
      <c r="EP1" t="e">
        <f>AND('Pay Bill'!#REF!,"AAAAAHxdzZE=")</f>
        <v>#REF!</v>
      </c>
      <c r="EQ1" t="e">
        <f>AND('Pay Bill'!#REF!,"AAAAAHxdzZI=")</f>
        <v>#REF!</v>
      </c>
      <c r="ER1" t="e">
        <f>AND('Pay Bill'!#REF!,"AAAAAHxdzZM=")</f>
        <v>#REF!</v>
      </c>
      <c r="ES1" t="e">
        <f>AND('Pay Bill'!#REF!,"AAAAAHxdzZQ=")</f>
        <v>#REF!</v>
      </c>
      <c r="ET1" t="e">
        <f>AND('Pay Bill'!#REF!,"AAAAAHxdzZU=")</f>
        <v>#REF!</v>
      </c>
      <c r="EU1" t="e">
        <f>AND('Pay Bill'!#REF!,"AAAAAHxdzZY=")</f>
        <v>#REF!</v>
      </c>
      <c r="EV1" t="e">
        <f>AND('Pay Bill'!#REF!,"AAAAAHxdzZc=")</f>
        <v>#REF!</v>
      </c>
      <c r="EW1" t="e">
        <f>AND('Pay Bill'!#REF!,"AAAAAHxdzZg=")</f>
        <v>#REF!</v>
      </c>
      <c r="EX1" t="e">
        <f>AND('Pay Bill'!#REF!,"AAAAAHxdzZk=")</f>
        <v>#REF!</v>
      </c>
      <c r="EY1">
        <f>IF('Pay Bill'!7:7,"AAAAAHxdzZo=",0)</f>
        <v>0</v>
      </c>
      <c r="EZ1" t="e">
        <f>AND('Pay Bill'!A7,"AAAAAHxdzZs=")</f>
        <v>#VALUE!</v>
      </c>
      <c r="FA1" t="e">
        <f>AND('Pay Bill'!B7,"AAAAAHxdzZw=")</f>
        <v>#VALUE!</v>
      </c>
      <c r="FB1" t="e">
        <f>AND('Pay Bill'!C7,"AAAAAHxdzZ0=")</f>
        <v>#VALUE!</v>
      </c>
      <c r="FC1" t="e">
        <f>AND('Pay Bill'!D7,"AAAAAHxdzZ4=")</f>
        <v>#VALUE!</v>
      </c>
      <c r="FD1" t="e">
        <f>AND('Pay Bill'!E7,"AAAAAHxdzZ8=")</f>
        <v>#VALUE!</v>
      </c>
      <c r="FE1" t="e">
        <f>AND('Pay Bill'!F7,"AAAAAHxdzaA=")</f>
        <v>#VALUE!</v>
      </c>
      <c r="FF1" t="e">
        <f>AND('Pay Bill'!G7,"AAAAAHxdzaE=")</f>
        <v>#VALUE!</v>
      </c>
      <c r="FG1" t="e">
        <f>AND('Pay Bill'!H7,"AAAAAHxdzaI=")</f>
        <v>#VALUE!</v>
      </c>
      <c r="FH1" t="e">
        <f>AND('Pay Bill'!I7,"AAAAAHxdzaM=")</f>
        <v>#VALUE!</v>
      </c>
      <c r="FI1" t="e">
        <f>AND('Pay Bill'!J7,"AAAAAHxdzaQ=")</f>
        <v>#VALUE!</v>
      </c>
      <c r="FJ1" t="e">
        <f>AND('Pay Bill'!#REF!,"AAAAAHxdzaU=")</f>
        <v>#REF!</v>
      </c>
      <c r="FK1" t="e">
        <f>AND('Pay Bill'!#REF!,"AAAAAHxdzaY=")</f>
        <v>#REF!</v>
      </c>
      <c r="FL1" t="e">
        <f>AND('Pay Bill'!#REF!,"AAAAAHxdzac=")</f>
        <v>#REF!</v>
      </c>
      <c r="FM1" t="e">
        <f>AND('Pay Bill'!K7,"AAAAAHxdzag=")</f>
        <v>#VALUE!</v>
      </c>
      <c r="FN1" t="e">
        <f>AND('Pay Bill'!L7,"AAAAAHxdzak=")</f>
        <v>#VALUE!</v>
      </c>
      <c r="FO1" t="e">
        <f>AND('Pay Bill'!M7,"AAAAAHxdzao=")</f>
        <v>#VALUE!</v>
      </c>
      <c r="FP1" t="e">
        <f>AND('Pay Bill'!#REF!,"AAAAAHxdzas=")</f>
        <v>#REF!</v>
      </c>
      <c r="FQ1" t="e">
        <f>AND('Pay Bill'!#REF!,"AAAAAHxdzaw=")</f>
        <v>#REF!</v>
      </c>
      <c r="FR1" t="e">
        <f>AND('Pay Bill'!#REF!,"AAAAAHxdza0=")</f>
        <v>#REF!</v>
      </c>
      <c r="FS1" t="e">
        <f>AND('Pay Bill'!#REF!,"AAAAAHxdza4=")</f>
        <v>#REF!</v>
      </c>
      <c r="FT1" t="e">
        <f>AND('Pay Bill'!N7,"AAAAAHxdza8=")</f>
        <v>#VALUE!</v>
      </c>
      <c r="FU1" t="e">
        <f>IF('Pay Bill'!#REF!,"AAAAAHxdzbA=",0)</f>
        <v>#REF!</v>
      </c>
      <c r="FV1" t="e">
        <f>AND('Pay Bill'!#REF!,"AAAAAHxdzbE=")</f>
        <v>#REF!</v>
      </c>
      <c r="FW1" t="e">
        <f>AND('Pay Bill'!#REF!,"AAAAAHxdzbI=")</f>
        <v>#REF!</v>
      </c>
      <c r="FX1" t="e">
        <f>AND('Pay Bill'!#REF!,"AAAAAHxdzbM=")</f>
        <v>#REF!</v>
      </c>
      <c r="FY1" t="e">
        <f>AND('Pay Bill'!#REF!,"AAAAAHxdzbQ=")</f>
        <v>#REF!</v>
      </c>
      <c r="FZ1" t="e">
        <f>AND('Pay Bill'!#REF!,"AAAAAHxdzbU=")</f>
        <v>#REF!</v>
      </c>
      <c r="GA1" t="e">
        <f>AND('Pay Bill'!#REF!,"AAAAAHxdzbY=")</f>
        <v>#REF!</v>
      </c>
      <c r="GB1" t="e">
        <f>AND('Pay Bill'!#REF!,"AAAAAHxdzbc=")</f>
        <v>#REF!</v>
      </c>
      <c r="GC1" t="e">
        <f>AND('Pay Bill'!#REF!,"AAAAAHxdzbg=")</f>
        <v>#REF!</v>
      </c>
      <c r="GD1" t="e">
        <f>AND('Pay Bill'!#REF!,"AAAAAHxdzbk=")</f>
        <v>#REF!</v>
      </c>
      <c r="GE1" t="e">
        <f>AND('Pay Bill'!#REF!,"AAAAAHxdzbo=")</f>
        <v>#REF!</v>
      </c>
      <c r="GF1" t="e">
        <f>AND('Pay Bill'!#REF!,"AAAAAHxdzbs=")</f>
        <v>#REF!</v>
      </c>
      <c r="GG1" t="e">
        <f>AND('Pay Bill'!#REF!,"AAAAAHxdzbw=")</f>
        <v>#REF!</v>
      </c>
      <c r="GH1" t="e">
        <f>AND('Pay Bill'!#REF!,"AAAAAHxdzb0=")</f>
        <v>#REF!</v>
      </c>
      <c r="GI1" t="e">
        <f>AND('Pay Bill'!#REF!,"AAAAAHxdzb4=")</f>
        <v>#REF!</v>
      </c>
      <c r="GJ1" t="e">
        <f>AND('Pay Bill'!#REF!,"AAAAAHxdzb8=")</f>
        <v>#REF!</v>
      </c>
      <c r="GK1" t="e">
        <f>AND('Pay Bill'!#REF!,"AAAAAHxdzcA=")</f>
        <v>#REF!</v>
      </c>
      <c r="GL1" t="e">
        <f>AND('Pay Bill'!#REF!,"AAAAAHxdzcE=")</f>
        <v>#REF!</v>
      </c>
      <c r="GM1" t="e">
        <f>AND('Pay Bill'!#REF!,"AAAAAHxdzcI=")</f>
        <v>#REF!</v>
      </c>
      <c r="GN1" t="e">
        <f>AND('Pay Bill'!#REF!,"AAAAAHxdzcM=")</f>
        <v>#REF!</v>
      </c>
      <c r="GO1" t="e">
        <f>AND('Pay Bill'!#REF!,"AAAAAHxdzcQ=")</f>
        <v>#REF!</v>
      </c>
      <c r="GP1" t="e">
        <f>AND('Pay Bill'!#REF!,"AAAAAHxdzcU=")</f>
        <v>#REF!</v>
      </c>
      <c r="GQ1">
        <f>IF('Pay Bill'!10:10,"AAAAAHxdzcY=",0)</f>
        <v>0</v>
      </c>
      <c r="GR1" t="e">
        <f>AND('Pay Bill'!A10,"AAAAAHxdzcc=")</f>
        <v>#VALUE!</v>
      </c>
      <c r="GS1" t="e">
        <f>AND('Pay Bill'!B10,"AAAAAHxdzcg=")</f>
        <v>#VALUE!</v>
      </c>
      <c r="GT1" t="e">
        <f>AND('Pay Bill'!C10,"AAAAAHxdzck=")</f>
        <v>#VALUE!</v>
      </c>
      <c r="GU1" t="e">
        <f>AND('Pay Bill'!D10,"AAAAAHxdzco=")</f>
        <v>#VALUE!</v>
      </c>
      <c r="GV1" t="e">
        <f>AND('Pay Bill'!E10,"AAAAAHxdzcs=")</f>
        <v>#VALUE!</v>
      </c>
      <c r="GW1" t="e">
        <f>AND('Pay Bill'!F10,"AAAAAHxdzcw=")</f>
        <v>#VALUE!</v>
      </c>
      <c r="GX1" t="e">
        <f>AND('Pay Bill'!G10,"AAAAAHxdzc0=")</f>
        <v>#VALUE!</v>
      </c>
      <c r="GY1" t="e">
        <f>AND('Pay Bill'!H10,"AAAAAHxdzc4=")</f>
        <v>#VALUE!</v>
      </c>
      <c r="GZ1" t="e">
        <f>AND('Pay Bill'!I10,"AAAAAHxdzc8=")</f>
        <v>#VALUE!</v>
      </c>
      <c r="HA1" t="e">
        <f>AND('Pay Bill'!J10,"AAAAAHxdzdA=")</f>
        <v>#VALUE!</v>
      </c>
      <c r="HB1" t="e">
        <f>AND('Pay Bill'!#REF!,"AAAAAHxdzdE=")</f>
        <v>#REF!</v>
      </c>
      <c r="HC1" t="e">
        <f>AND('Pay Bill'!#REF!,"AAAAAHxdzdI=")</f>
        <v>#REF!</v>
      </c>
      <c r="HD1" t="e">
        <f>AND('Pay Bill'!#REF!,"AAAAAHxdzdM=")</f>
        <v>#REF!</v>
      </c>
      <c r="HE1" t="e">
        <f>AND('Pay Bill'!K10,"AAAAAHxdzdQ=")</f>
        <v>#VALUE!</v>
      </c>
      <c r="HF1" t="e">
        <f>AND('Pay Bill'!L10,"AAAAAHxdzdU=")</f>
        <v>#VALUE!</v>
      </c>
      <c r="HG1" t="e">
        <f>AND('Pay Bill'!M10,"AAAAAHxdzdY=")</f>
        <v>#VALUE!</v>
      </c>
      <c r="HH1" t="e">
        <f>AND('Pay Bill'!#REF!,"AAAAAHxdzdc=")</f>
        <v>#REF!</v>
      </c>
      <c r="HI1" t="e">
        <f>AND('Pay Bill'!#REF!,"AAAAAHxdzdg=")</f>
        <v>#REF!</v>
      </c>
      <c r="HJ1" t="e">
        <f>AND('Pay Bill'!#REF!,"AAAAAHxdzdk=")</f>
        <v>#REF!</v>
      </c>
      <c r="HK1" t="e">
        <f>AND('Pay Bill'!#REF!,"AAAAAHxdzdo=")</f>
        <v>#REF!</v>
      </c>
      <c r="HL1" t="e">
        <f>AND('Pay Bill'!N10,"AAAAAHxdzds=")</f>
        <v>#VALUE!</v>
      </c>
      <c r="HM1">
        <f>IF('Pay Bill'!11:11,"AAAAAHxdzdw=",0)</f>
        <v>0</v>
      </c>
      <c r="HN1" t="e">
        <f>AND('Pay Bill'!A11,"AAAAAHxdzd0=")</f>
        <v>#VALUE!</v>
      </c>
      <c r="HO1" t="e">
        <f>AND('Pay Bill'!B11,"AAAAAHxdzd4=")</f>
        <v>#VALUE!</v>
      </c>
      <c r="HP1" t="e">
        <f>AND('Pay Bill'!C11,"AAAAAHxdzd8=")</f>
        <v>#VALUE!</v>
      </c>
      <c r="HQ1" t="e">
        <f>AND('Pay Bill'!D11,"AAAAAHxdzeA=")</f>
        <v>#VALUE!</v>
      </c>
      <c r="HR1" t="e">
        <f>AND('Pay Bill'!E11,"AAAAAHxdzeE=")</f>
        <v>#VALUE!</v>
      </c>
      <c r="HS1" t="e">
        <f>AND('Pay Bill'!F11,"AAAAAHxdzeI=")</f>
        <v>#VALUE!</v>
      </c>
      <c r="HT1" t="e">
        <f>AND('Pay Bill'!G11,"AAAAAHxdzeM=")</f>
        <v>#VALUE!</v>
      </c>
      <c r="HU1" t="e">
        <f>AND('Pay Bill'!H11,"AAAAAHxdzeQ=")</f>
        <v>#VALUE!</v>
      </c>
      <c r="HV1" t="e">
        <f>AND('Pay Bill'!I11,"AAAAAHxdzeU=")</f>
        <v>#VALUE!</v>
      </c>
      <c r="HW1" t="e">
        <f>AND('Pay Bill'!J11,"AAAAAHxdzeY=")</f>
        <v>#VALUE!</v>
      </c>
      <c r="HX1" t="e">
        <f>AND('Pay Bill'!#REF!,"AAAAAHxdzec=")</f>
        <v>#REF!</v>
      </c>
      <c r="HY1" t="e">
        <f>AND('Pay Bill'!#REF!,"AAAAAHxdzeg=")</f>
        <v>#REF!</v>
      </c>
      <c r="HZ1" t="e">
        <f>AND('Pay Bill'!#REF!,"AAAAAHxdzek=")</f>
        <v>#REF!</v>
      </c>
      <c r="IA1" t="e">
        <f>AND('Pay Bill'!K11,"AAAAAHxdzeo=")</f>
        <v>#VALUE!</v>
      </c>
      <c r="IB1" t="e">
        <f>AND('Pay Bill'!L11,"AAAAAHxdzes=")</f>
        <v>#VALUE!</v>
      </c>
      <c r="IC1" t="e">
        <f>AND('Pay Bill'!M11,"AAAAAHxdzew=")</f>
        <v>#VALUE!</v>
      </c>
      <c r="ID1" t="e">
        <f>AND('Pay Bill'!#REF!,"AAAAAHxdze0=")</f>
        <v>#REF!</v>
      </c>
      <c r="IE1" t="e">
        <f>AND('Pay Bill'!#REF!,"AAAAAHxdze4=")</f>
        <v>#REF!</v>
      </c>
      <c r="IF1" t="e">
        <f>AND('Pay Bill'!#REF!,"AAAAAHxdze8=")</f>
        <v>#REF!</v>
      </c>
      <c r="IG1" t="e">
        <f>AND('Pay Bill'!#REF!,"AAAAAHxdzfA=")</f>
        <v>#REF!</v>
      </c>
      <c r="IH1" t="e">
        <f>AND('Pay Bill'!N11,"AAAAAHxdzfE=")</f>
        <v>#VALUE!</v>
      </c>
      <c r="II1">
        <f>IF('Pay Bill'!12:12,"AAAAAHxdzfI=",0)</f>
        <v>0</v>
      </c>
      <c r="IJ1" t="e">
        <f>AND('Pay Bill'!A12,"AAAAAHxdzfM=")</f>
        <v>#VALUE!</v>
      </c>
      <c r="IK1" t="e">
        <f>AND('Pay Bill'!B12,"AAAAAHxdzfQ=")</f>
        <v>#VALUE!</v>
      </c>
      <c r="IL1" t="e">
        <f>AND('Pay Bill'!C12,"AAAAAHxdzfU=")</f>
        <v>#VALUE!</v>
      </c>
      <c r="IM1" t="e">
        <f>AND('Pay Bill'!D12,"AAAAAHxdzfY=")</f>
        <v>#VALUE!</v>
      </c>
      <c r="IN1" t="e">
        <f>AND('Pay Bill'!E12,"AAAAAHxdzfc=")</f>
        <v>#VALUE!</v>
      </c>
      <c r="IO1" t="e">
        <f>AND('Pay Bill'!F12,"AAAAAHxdzfg=")</f>
        <v>#VALUE!</v>
      </c>
      <c r="IP1" t="e">
        <f>AND('Pay Bill'!G12,"AAAAAHxdzfk=")</f>
        <v>#VALUE!</v>
      </c>
      <c r="IQ1" t="e">
        <f>AND('Pay Bill'!H12,"AAAAAHxdzfo=")</f>
        <v>#VALUE!</v>
      </c>
      <c r="IR1" t="e">
        <f>AND('Pay Bill'!I12,"AAAAAHxdzfs=")</f>
        <v>#VALUE!</v>
      </c>
      <c r="IS1" t="e">
        <f>AND('Pay Bill'!J12,"AAAAAHxdzfw=")</f>
        <v>#VALUE!</v>
      </c>
      <c r="IT1" t="e">
        <f>AND('Pay Bill'!#REF!,"AAAAAHxdzf0=")</f>
        <v>#REF!</v>
      </c>
      <c r="IU1" t="e">
        <f>AND('Pay Bill'!#REF!,"AAAAAHxdzf4=")</f>
        <v>#REF!</v>
      </c>
      <c r="IV1" t="e">
        <f>AND('Pay Bill'!#REF!,"AAAAAHxdzf8=")</f>
        <v>#REF!</v>
      </c>
    </row>
    <row r="2" spans="1:256" x14ac:dyDescent="0.25">
      <c r="A2" t="e">
        <f>AND('Pay Bill'!K12,"AAAAAFu4uwA=")</f>
        <v>#VALUE!</v>
      </c>
      <c r="B2" t="e">
        <f>AND('Pay Bill'!L12,"AAAAAFu4uwE=")</f>
        <v>#VALUE!</v>
      </c>
      <c r="C2" t="e">
        <f>AND('Pay Bill'!M12,"AAAAAFu4uwI=")</f>
        <v>#VALUE!</v>
      </c>
      <c r="D2" t="e">
        <f>AND('Pay Bill'!#REF!,"AAAAAFu4uwM=")</f>
        <v>#REF!</v>
      </c>
      <c r="E2" t="e">
        <f>AND('Pay Bill'!#REF!,"AAAAAFu4uwQ=")</f>
        <v>#REF!</v>
      </c>
      <c r="F2" t="e">
        <f>AND('Pay Bill'!#REF!,"AAAAAFu4uwU=")</f>
        <v>#REF!</v>
      </c>
      <c r="G2" t="e">
        <f>AND('Pay Bill'!#REF!,"AAAAAFu4uwY=")</f>
        <v>#REF!</v>
      </c>
      <c r="H2" t="e">
        <f>AND('Pay Bill'!N12,"AAAAAFu4uwc=")</f>
        <v>#VALUE!</v>
      </c>
      <c r="I2" t="e">
        <f>IF('Pay Bill'!#REF!,"AAAAAFu4uwg=",0)</f>
        <v>#REF!</v>
      </c>
      <c r="J2" t="e">
        <f>AND('Pay Bill'!#REF!,"AAAAAFu4uwk=")</f>
        <v>#REF!</v>
      </c>
      <c r="K2" t="e">
        <f>AND('Pay Bill'!#REF!,"AAAAAFu4uwo=")</f>
        <v>#REF!</v>
      </c>
      <c r="L2" t="e">
        <f>AND('Pay Bill'!#REF!,"AAAAAFu4uws=")</f>
        <v>#REF!</v>
      </c>
      <c r="M2" t="e">
        <f>AND('Pay Bill'!#REF!,"AAAAAFu4uww=")</f>
        <v>#REF!</v>
      </c>
      <c r="N2" t="e">
        <f>AND('Pay Bill'!#REF!,"AAAAAFu4uw0=")</f>
        <v>#REF!</v>
      </c>
      <c r="O2" t="e">
        <f>AND('Pay Bill'!#REF!,"AAAAAFu4uw4=")</f>
        <v>#REF!</v>
      </c>
      <c r="P2" t="e">
        <f>AND('Pay Bill'!#REF!,"AAAAAFu4uw8=")</f>
        <v>#REF!</v>
      </c>
      <c r="Q2" t="e">
        <f>AND('Pay Bill'!#REF!,"AAAAAFu4uxA=")</f>
        <v>#REF!</v>
      </c>
      <c r="R2" t="e">
        <f>AND('Pay Bill'!#REF!,"AAAAAFu4uxE=")</f>
        <v>#REF!</v>
      </c>
      <c r="S2" t="e">
        <f>AND('Pay Bill'!#REF!,"AAAAAFu4uxI=")</f>
        <v>#REF!</v>
      </c>
      <c r="T2" t="e">
        <f>AND('Pay Bill'!#REF!,"AAAAAFu4uxM=")</f>
        <v>#REF!</v>
      </c>
      <c r="U2" t="e">
        <f>AND('Pay Bill'!#REF!,"AAAAAFu4uxQ=")</f>
        <v>#REF!</v>
      </c>
      <c r="V2" t="e">
        <f>AND('Pay Bill'!#REF!,"AAAAAFu4uxU=")</f>
        <v>#REF!</v>
      </c>
      <c r="W2" t="e">
        <f>AND('Pay Bill'!#REF!,"AAAAAFu4uxY=")</f>
        <v>#REF!</v>
      </c>
      <c r="X2" t="e">
        <f>AND('Pay Bill'!#REF!,"AAAAAFu4uxc=")</f>
        <v>#REF!</v>
      </c>
      <c r="Y2" t="e">
        <f>AND('Pay Bill'!#REF!,"AAAAAFu4uxg=")</f>
        <v>#REF!</v>
      </c>
      <c r="Z2" t="e">
        <f>AND('Pay Bill'!#REF!,"AAAAAFu4uxk=")</f>
        <v>#REF!</v>
      </c>
      <c r="AA2" t="e">
        <f>AND('Pay Bill'!#REF!,"AAAAAFu4uxo=")</f>
        <v>#REF!</v>
      </c>
      <c r="AB2" t="e">
        <f>AND('Pay Bill'!#REF!,"AAAAAFu4uxs=")</f>
        <v>#REF!</v>
      </c>
      <c r="AC2" t="e">
        <f>AND('Pay Bill'!#REF!,"AAAAAFu4uxw=")</f>
        <v>#REF!</v>
      </c>
      <c r="AD2" t="e">
        <f>AND('Pay Bill'!#REF!,"AAAAAFu4ux0=")</f>
        <v>#REF!</v>
      </c>
      <c r="AE2">
        <f>IF('Pay Bill'!13:13,"AAAAAFu4ux4=",0)</f>
        <v>0</v>
      </c>
      <c r="AF2" t="e">
        <f>AND('Pay Bill'!A13,"AAAAAFu4ux8=")</f>
        <v>#VALUE!</v>
      </c>
      <c r="AG2" t="e">
        <f>AND('Pay Bill'!B13,"AAAAAFu4uyA=")</f>
        <v>#VALUE!</v>
      </c>
      <c r="AH2" t="e">
        <f>AND('Pay Bill'!C13,"AAAAAFu4uyE=")</f>
        <v>#VALUE!</v>
      </c>
      <c r="AI2" t="e">
        <f>AND('Pay Bill'!D13,"AAAAAFu4uyI=")</f>
        <v>#VALUE!</v>
      </c>
      <c r="AJ2" t="e">
        <f>AND('Pay Bill'!E13,"AAAAAFu4uyM=")</f>
        <v>#VALUE!</v>
      </c>
      <c r="AK2" t="e">
        <f>AND('Pay Bill'!F13,"AAAAAFu4uyQ=")</f>
        <v>#VALUE!</v>
      </c>
      <c r="AL2" t="e">
        <f>AND('Pay Bill'!G13,"AAAAAFu4uyU=")</f>
        <v>#VALUE!</v>
      </c>
      <c r="AM2" t="e">
        <f>AND('Pay Bill'!H13,"AAAAAFu4uyY=")</f>
        <v>#VALUE!</v>
      </c>
      <c r="AN2" t="e">
        <f>AND('Pay Bill'!I13,"AAAAAFu4uyc=")</f>
        <v>#VALUE!</v>
      </c>
      <c r="AO2" t="e">
        <f>AND('Pay Bill'!J13,"AAAAAFu4uyg=")</f>
        <v>#VALUE!</v>
      </c>
      <c r="AP2" t="e">
        <f>AND('Pay Bill'!#REF!,"AAAAAFu4uyk=")</f>
        <v>#REF!</v>
      </c>
      <c r="AQ2" t="e">
        <f>AND('Pay Bill'!#REF!,"AAAAAFu4uyo=")</f>
        <v>#REF!</v>
      </c>
      <c r="AR2" t="e">
        <f>AND('Pay Bill'!#REF!,"AAAAAFu4uys=")</f>
        <v>#REF!</v>
      </c>
      <c r="AS2" t="e">
        <f>AND('Pay Bill'!K13,"AAAAAFu4uyw=")</f>
        <v>#VALUE!</v>
      </c>
      <c r="AT2" t="e">
        <f>AND('Pay Bill'!L13,"AAAAAFu4uy0=")</f>
        <v>#VALUE!</v>
      </c>
      <c r="AU2" t="e">
        <f>AND('Pay Bill'!M13,"AAAAAFu4uy4=")</f>
        <v>#VALUE!</v>
      </c>
      <c r="AV2" t="e">
        <f>AND('Pay Bill'!#REF!,"AAAAAFu4uy8=")</f>
        <v>#REF!</v>
      </c>
      <c r="AW2" t="e">
        <f>AND('Pay Bill'!#REF!,"AAAAAFu4uzA=")</f>
        <v>#REF!</v>
      </c>
      <c r="AX2" t="e">
        <f>AND('Pay Bill'!#REF!,"AAAAAFu4uzE=")</f>
        <v>#REF!</v>
      </c>
      <c r="AY2" t="e">
        <f>AND('Pay Bill'!#REF!,"AAAAAFu4uzI=")</f>
        <v>#REF!</v>
      </c>
      <c r="AZ2" t="e">
        <f>AND('Pay Bill'!N13,"AAAAAFu4uzM=")</f>
        <v>#VALUE!</v>
      </c>
      <c r="BA2" t="e">
        <f>IF('Pay Bill'!#REF!,"AAAAAFu4uzQ=",0)</f>
        <v>#REF!</v>
      </c>
      <c r="BB2" t="e">
        <f>AND('Pay Bill'!#REF!,"AAAAAFu4uzU=")</f>
        <v>#REF!</v>
      </c>
      <c r="BC2" t="e">
        <f>AND('Pay Bill'!#REF!,"AAAAAFu4uzY=")</f>
        <v>#REF!</v>
      </c>
      <c r="BD2" t="e">
        <f>AND('Pay Bill'!#REF!,"AAAAAFu4uzc=")</f>
        <v>#REF!</v>
      </c>
      <c r="BE2" t="e">
        <f>AND('Pay Bill'!#REF!,"AAAAAFu4uzg=")</f>
        <v>#REF!</v>
      </c>
      <c r="BF2" t="e">
        <f>AND('Pay Bill'!#REF!,"AAAAAFu4uzk=")</f>
        <v>#REF!</v>
      </c>
      <c r="BG2" t="e">
        <f>AND('Pay Bill'!#REF!,"AAAAAFu4uzo=")</f>
        <v>#REF!</v>
      </c>
      <c r="BH2" t="e">
        <f>AND('Pay Bill'!#REF!,"AAAAAFu4uzs=")</f>
        <v>#REF!</v>
      </c>
      <c r="BI2" t="e">
        <f>AND('Pay Bill'!#REF!,"AAAAAFu4uzw=")</f>
        <v>#REF!</v>
      </c>
      <c r="BJ2" t="e">
        <f>AND('Pay Bill'!#REF!,"AAAAAFu4uz0=")</f>
        <v>#REF!</v>
      </c>
      <c r="BK2" t="e">
        <f>AND('Pay Bill'!#REF!,"AAAAAFu4uz4=")</f>
        <v>#REF!</v>
      </c>
      <c r="BL2" t="e">
        <f>AND('Pay Bill'!#REF!,"AAAAAFu4uz8=")</f>
        <v>#REF!</v>
      </c>
      <c r="BM2" t="e">
        <f>AND('Pay Bill'!#REF!,"AAAAAFu4u0A=")</f>
        <v>#REF!</v>
      </c>
      <c r="BN2" t="e">
        <f>AND('Pay Bill'!#REF!,"AAAAAFu4u0E=")</f>
        <v>#REF!</v>
      </c>
      <c r="BO2" t="e">
        <f>AND('Pay Bill'!#REF!,"AAAAAFu4u0I=")</f>
        <v>#REF!</v>
      </c>
      <c r="BP2" t="e">
        <f>AND('Pay Bill'!#REF!,"AAAAAFu4u0M=")</f>
        <v>#REF!</v>
      </c>
      <c r="BQ2" t="e">
        <f>AND('Pay Bill'!#REF!,"AAAAAFu4u0Q=")</f>
        <v>#REF!</v>
      </c>
      <c r="BR2" t="e">
        <f>AND('Pay Bill'!#REF!,"AAAAAFu4u0U=")</f>
        <v>#REF!</v>
      </c>
      <c r="BS2" t="e">
        <f>AND('Pay Bill'!#REF!,"AAAAAFu4u0Y=")</f>
        <v>#REF!</v>
      </c>
      <c r="BT2" t="e">
        <f>AND('Pay Bill'!#REF!,"AAAAAFu4u0c=")</f>
        <v>#REF!</v>
      </c>
      <c r="BU2" t="e">
        <f>AND('Pay Bill'!#REF!,"AAAAAFu4u0g=")</f>
        <v>#REF!</v>
      </c>
      <c r="BV2" t="e">
        <f>AND('Pay Bill'!#REF!,"AAAAAFu4u0k=")</f>
        <v>#REF!</v>
      </c>
      <c r="BW2" t="e">
        <f>IF('Pay Bill'!#REF!,"AAAAAFu4u0o=",0)</f>
        <v>#REF!</v>
      </c>
      <c r="BX2" t="e">
        <f>AND('Pay Bill'!#REF!,"AAAAAFu4u0s=")</f>
        <v>#REF!</v>
      </c>
      <c r="BY2" t="e">
        <f>AND('Pay Bill'!#REF!,"AAAAAFu4u0w=")</f>
        <v>#REF!</v>
      </c>
      <c r="BZ2" t="e">
        <f>AND('Pay Bill'!#REF!,"AAAAAFu4u00=")</f>
        <v>#REF!</v>
      </c>
      <c r="CA2" t="e">
        <f>AND('Pay Bill'!#REF!,"AAAAAFu4u04=")</f>
        <v>#REF!</v>
      </c>
      <c r="CB2" t="e">
        <f>AND('Pay Bill'!#REF!,"AAAAAFu4u08=")</f>
        <v>#REF!</v>
      </c>
      <c r="CC2" t="e">
        <f>AND('Pay Bill'!#REF!,"AAAAAFu4u1A=")</f>
        <v>#REF!</v>
      </c>
      <c r="CD2" t="e">
        <f>AND('Pay Bill'!#REF!,"AAAAAFu4u1E=")</f>
        <v>#REF!</v>
      </c>
      <c r="CE2" t="e">
        <f>AND('Pay Bill'!#REF!,"AAAAAFu4u1I=")</f>
        <v>#REF!</v>
      </c>
      <c r="CF2" t="e">
        <f>AND('Pay Bill'!#REF!,"AAAAAFu4u1M=")</f>
        <v>#REF!</v>
      </c>
      <c r="CG2" t="e">
        <f>AND('Pay Bill'!#REF!,"AAAAAFu4u1Q=")</f>
        <v>#REF!</v>
      </c>
      <c r="CH2" t="e">
        <f>AND('Pay Bill'!#REF!,"AAAAAFu4u1U=")</f>
        <v>#REF!</v>
      </c>
      <c r="CI2" t="e">
        <f>AND('Pay Bill'!#REF!,"AAAAAFu4u1Y=")</f>
        <v>#REF!</v>
      </c>
      <c r="CJ2" t="e">
        <f>AND('Pay Bill'!#REF!,"AAAAAFu4u1c=")</f>
        <v>#REF!</v>
      </c>
      <c r="CK2" t="e">
        <f>AND('Pay Bill'!#REF!,"AAAAAFu4u1g=")</f>
        <v>#REF!</v>
      </c>
      <c r="CL2" t="e">
        <f>AND('Pay Bill'!#REF!,"AAAAAFu4u1k=")</f>
        <v>#REF!</v>
      </c>
      <c r="CM2" t="e">
        <f>AND('Pay Bill'!#REF!,"AAAAAFu4u1o=")</f>
        <v>#REF!</v>
      </c>
      <c r="CN2" t="e">
        <f>AND('Pay Bill'!#REF!,"AAAAAFu4u1s=")</f>
        <v>#REF!</v>
      </c>
      <c r="CO2" t="e">
        <f>AND('Pay Bill'!#REF!,"AAAAAFu4u1w=")</f>
        <v>#REF!</v>
      </c>
      <c r="CP2" t="e">
        <f>AND('Pay Bill'!#REF!,"AAAAAFu4u10=")</f>
        <v>#REF!</v>
      </c>
      <c r="CQ2" t="e">
        <f>AND('Pay Bill'!#REF!,"AAAAAFu4u14=")</f>
        <v>#REF!</v>
      </c>
      <c r="CR2" t="e">
        <f>AND('Pay Bill'!#REF!,"AAAAAFu4u18=")</f>
        <v>#REF!</v>
      </c>
      <c r="CS2" t="e">
        <f>IF('Pay Bill'!#REF!,"AAAAAFu4u2A=",0)</f>
        <v>#REF!</v>
      </c>
      <c r="CT2" t="e">
        <f>AND('Pay Bill'!#REF!,"AAAAAFu4u2E=")</f>
        <v>#REF!</v>
      </c>
      <c r="CU2" t="e">
        <f>AND('Pay Bill'!#REF!,"AAAAAFu4u2I=")</f>
        <v>#REF!</v>
      </c>
      <c r="CV2" t="e">
        <f>AND('Pay Bill'!#REF!,"AAAAAFu4u2M=")</f>
        <v>#REF!</v>
      </c>
      <c r="CW2" t="e">
        <f>AND('Pay Bill'!#REF!,"AAAAAFu4u2Q=")</f>
        <v>#REF!</v>
      </c>
      <c r="CX2" t="e">
        <f>AND('Pay Bill'!#REF!,"AAAAAFu4u2U=")</f>
        <v>#REF!</v>
      </c>
      <c r="CY2" t="e">
        <f>AND('Pay Bill'!#REF!,"AAAAAFu4u2Y=")</f>
        <v>#REF!</v>
      </c>
      <c r="CZ2" t="e">
        <f>AND('Pay Bill'!#REF!,"AAAAAFu4u2c=")</f>
        <v>#REF!</v>
      </c>
      <c r="DA2" t="e">
        <f>AND('Pay Bill'!#REF!,"AAAAAFu4u2g=")</f>
        <v>#REF!</v>
      </c>
      <c r="DB2" t="e">
        <f>AND('Pay Bill'!#REF!,"AAAAAFu4u2k=")</f>
        <v>#REF!</v>
      </c>
      <c r="DC2" t="e">
        <f>AND('Pay Bill'!#REF!,"AAAAAFu4u2o=")</f>
        <v>#REF!</v>
      </c>
      <c r="DD2" t="e">
        <f>AND('Pay Bill'!#REF!,"AAAAAFu4u2s=")</f>
        <v>#REF!</v>
      </c>
      <c r="DE2" t="e">
        <f>AND('Pay Bill'!#REF!,"AAAAAFu4u2w=")</f>
        <v>#REF!</v>
      </c>
      <c r="DF2" t="e">
        <f>AND('Pay Bill'!#REF!,"AAAAAFu4u20=")</f>
        <v>#REF!</v>
      </c>
      <c r="DG2" t="e">
        <f>AND('Pay Bill'!#REF!,"AAAAAFu4u24=")</f>
        <v>#REF!</v>
      </c>
      <c r="DH2" t="e">
        <f>AND('Pay Bill'!#REF!,"AAAAAFu4u28=")</f>
        <v>#REF!</v>
      </c>
      <c r="DI2" t="e">
        <f>AND('Pay Bill'!#REF!,"AAAAAFu4u3A=")</f>
        <v>#REF!</v>
      </c>
      <c r="DJ2" t="e">
        <f>AND('Pay Bill'!#REF!,"AAAAAFu4u3E=")</f>
        <v>#REF!</v>
      </c>
      <c r="DK2" t="e">
        <f>AND('Pay Bill'!#REF!,"AAAAAFu4u3I=")</f>
        <v>#REF!</v>
      </c>
      <c r="DL2" t="e">
        <f>AND('Pay Bill'!#REF!,"AAAAAFu4u3M=")</f>
        <v>#REF!</v>
      </c>
      <c r="DM2" t="e">
        <f>AND('Pay Bill'!#REF!,"AAAAAFu4u3Q=")</f>
        <v>#REF!</v>
      </c>
      <c r="DN2" t="e">
        <f>AND('Pay Bill'!#REF!,"AAAAAFu4u3U=")</f>
        <v>#REF!</v>
      </c>
      <c r="DO2">
        <f>IF('Pay Bill'!16:16,"AAAAAFu4u3Y=",0)</f>
        <v>0</v>
      </c>
      <c r="DP2" t="e">
        <f>AND('Pay Bill'!A16,"AAAAAFu4u3c=")</f>
        <v>#VALUE!</v>
      </c>
      <c r="DQ2" t="e">
        <f>AND('Pay Bill'!B16,"AAAAAFu4u3g=")</f>
        <v>#VALUE!</v>
      </c>
      <c r="DR2" t="e">
        <f>AND('Pay Bill'!C16,"AAAAAFu4u3k=")</f>
        <v>#VALUE!</v>
      </c>
      <c r="DS2" t="e">
        <f>AND('Pay Bill'!D16,"AAAAAFu4u3o=")</f>
        <v>#VALUE!</v>
      </c>
      <c r="DT2" t="e">
        <f>AND('Pay Bill'!E16,"AAAAAFu4u3s=")</f>
        <v>#VALUE!</v>
      </c>
      <c r="DU2" t="e">
        <f>AND('Pay Bill'!F16,"AAAAAFu4u3w=")</f>
        <v>#VALUE!</v>
      </c>
      <c r="DV2" t="e">
        <f>AND('Pay Bill'!G16,"AAAAAFu4u30=")</f>
        <v>#VALUE!</v>
      </c>
      <c r="DW2" t="e">
        <f>AND('Pay Bill'!H16,"AAAAAFu4u34=")</f>
        <v>#VALUE!</v>
      </c>
      <c r="DX2" t="e">
        <f>AND('Pay Bill'!I16,"AAAAAFu4u38=")</f>
        <v>#VALUE!</v>
      </c>
      <c r="DY2" t="e">
        <f>AND('Pay Bill'!J16,"AAAAAFu4u4A=")</f>
        <v>#VALUE!</v>
      </c>
      <c r="DZ2" t="e">
        <f>AND('Pay Bill'!#REF!,"AAAAAFu4u4E=")</f>
        <v>#REF!</v>
      </c>
      <c r="EA2" t="e">
        <f>AND('Pay Bill'!#REF!,"AAAAAFu4u4I=")</f>
        <v>#REF!</v>
      </c>
      <c r="EB2" t="e">
        <f>AND('Pay Bill'!#REF!,"AAAAAFu4u4M=")</f>
        <v>#REF!</v>
      </c>
      <c r="EC2" t="e">
        <f>AND('Pay Bill'!K16,"AAAAAFu4u4Q=")</f>
        <v>#VALUE!</v>
      </c>
      <c r="ED2" t="e">
        <f>AND('Pay Bill'!L16,"AAAAAFu4u4U=")</f>
        <v>#VALUE!</v>
      </c>
      <c r="EE2" t="e">
        <f>AND('Pay Bill'!M16,"AAAAAFu4u4Y=")</f>
        <v>#VALUE!</v>
      </c>
      <c r="EF2" t="e">
        <f>AND('Pay Bill'!#REF!,"AAAAAFu4u4c=")</f>
        <v>#REF!</v>
      </c>
      <c r="EG2" t="e">
        <f>AND('Pay Bill'!#REF!,"AAAAAFu4u4g=")</f>
        <v>#REF!</v>
      </c>
      <c r="EH2" t="e">
        <f>AND('Pay Bill'!#REF!,"AAAAAFu4u4k=")</f>
        <v>#REF!</v>
      </c>
      <c r="EI2" t="e">
        <f>AND('Pay Bill'!#REF!,"AAAAAFu4u4o=")</f>
        <v>#REF!</v>
      </c>
      <c r="EJ2" t="e">
        <f>AND('Pay Bill'!N16,"AAAAAFu4u4s=")</f>
        <v>#VALUE!</v>
      </c>
      <c r="EK2">
        <f>IF('Pay Bill'!17:17,"AAAAAFu4u4w=",0)</f>
        <v>0</v>
      </c>
      <c r="EL2" t="e">
        <f>AND('Pay Bill'!A17,"AAAAAFu4u40=")</f>
        <v>#VALUE!</v>
      </c>
      <c r="EM2" t="e">
        <f>AND('Pay Bill'!B17,"AAAAAFu4u44=")</f>
        <v>#VALUE!</v>
      </c>
      <c r="EN2" t="e">
        <f>AND('Pay Bill'!C17,"AAAAAFu4u48=")</f>
        <v>#VALUE!</v>
      </c>
      <c r="EO2" t="e">
        <f>AND('Pay Bill'!D17,"AAAAAFu4u5A=")</f>
        <v>#VALUE!</v>
      </c>
      <c r="EP2" t="e">
        <f>AND('Pay Bill'!E17,"AAAAAFu4u5E=")</f>
        <v>#VALUE!</v>
      </c>
      <c r="EQ2" t="e">
        <f>AND('Pay Bill'!F17,"AAAAAFu4u5I=")</f>
        <v>#VALUE!</v>
      </c>
      <c r="ER2" t="e">
        <f>AND('Pay Bill'!G17,"AAAAAFu4u5M=")</f>
        <v>#VALUE!</v>
      </c>
      <c r="ES2" t="e">
        <f>AND('Pay Bill'!H17,"AAAAAFu4u5Q=")</f>
        <v>#VALUE!</v>
      </c>
      <c r="ET2" t="e">
        <f>AND('Pay Bill'!I17,"AAAAAFu4u5U=")</f>
        <v>#VALUE!</v>
      </c>
      <c r="EU2" t="e">
        <f>AND('Pay Bill'!J17,"AAAAAFu4u5Y=")</f>
        <v>#VALUE!</v>
      </c>
      <c r="EV2" t="e">
        <f>AND('Pay Bill'!#REF!,"AAAAAFu4u5c=")</f>
        <v>#REF!</v>
      </c>
      <c r="EW2" t="e">
        <f>AND('Pay Bill'!#REF!,"AAAAAFu4u5g=")</f>
        <v>#REF!</v>
      </c>
      <c r="EX2" t="e">
        <f>AND('Pay Bill'!#REF!,"AAAAAFu4u5k=")</f>
        <v>#REF!</v>
      </c>
      <c r="EY2" t="e">
        <f>AND('Pay Bill'!K17,"AAAAAFu4u5o=")</f>
        <v>#VALUE!</v>
      </c>
      <c r="EZ2" t="e">
        <f>AND('Pay Bill'!L17,"AAAAAFu4u5s=")</f>
        <v>#VALUE!</v>
      </c>
      <c r="FA2" t="e">
        <f>AND('Pay Bill'!M17,"AAAAAFu4u5w=")</f>
        <v>#VALUE!</v>
      </c>
      <c r="FB2" t="e">
        <f>AND('Pay Bill'!#REF!,"AAAAAFu4u50=")</f>
        <v>#REF!</v>
      </c>
      <c r="FC2" t="e">
        <f>AND('Pay Bill'!#REF!,"AAAAAFu4u54=")</f>
        <v>#REF!</v>
      </c>
      <c r="FD2" t="e">
        <f>AND('Pay Bill'!#REF!,"AAAAAFu4u58=")</f>
        <v>#REF!</v>
      </c>
      <c r="FE2" t="e">
        <f>AND('Pay Bill'!#REF!,"AAAAAFu4u6A=")</f>
        <v>#REF!</v>
      </c>
      <c r="FF2" t="e">
        <f>AND('Pay Bill'!N17,"AAAAAFu4u6E=")</f>
        <v>#VALUE!</v>
      </c>
      <c r="FG2" t="e">
        <f>IF('Pay Bill'!#REF!,"AAAAAFu4u6I=",0)</f>
        <v>#REF!</v>
      </c>
      <c r="FH2" t="e">
        <f>AND('Pay Bill'!#REF!,"AAAAAFu4u6M=")</f>
        <v>#REF!</v>
      </c>
      <c r="FI2" t="e">
        <f>AND('Pay Bill'!#REF!,"AAAAAFu4u6Q=")</f>
        <v>#REF!</v>
      </c>
      <c r="FJ2" t="e">
        <f>AND('Pay Bill'!#REF!,"AAAAAFu4u6U=")</f>
        <v>#REF!</v>
      </c>
      <c r="FK2" t="e">
        <f>AND('Pay Bill'!#REF!,"AAAAAFu4u6Y=")</f>
        <v>#REF!</v>
      </c>
      <c r="FL2" t="e">
        <f>AND('Pay Bill'!#REF!,"AAAAAFu4u6c=")</f>
        <v>#REF!</v>
      </c>
      <c r="FM2" t="e">
        <f>AND('Pay Bill'!#REF!,"AAAAAFu4u6g=")</f>
        <v>#REF!</v>
      </c>
      <c r="FN2" t="e">
        <f>AND('Pay Bill'!#REF!,"AAAAAFu4u6k=")</f>
        <v>#REF!</v>
      </c>
      <c r="FO2" t="e">
        <f>AND('Pay Bill'!#REF!,"AAAAAFu4u6o=")</f>
        <v>#REF!</v>
      </c>
      <c r="FP2" t="e">
        <f>AND('Pay Bill'!#REF!,"AAAAAFu4u6s=")</f>
        <v>#REF!</v>
      </c>
      <c r="FQ2" t="e">
        <f>AND('Pay Bill'!#REF!,"AAAAAFu4u6w=")</f>
        <v>#REF!</v>
      </c>
      <c r="FR2" t="e">
        <f>AND('Pay Bill'!#REF!,"AAAAAFu4u60=")</f>
        <v>#REF!</v>
      </c>
      <c r="FS2" t="e">
        <f>AND('Pay Bill'!#REF!,"AAAAAFu4u64=")</f>
        <v>#REF!</v>
      </c>
      <c r="FT2" t="e">
        <f>AND('Pay Bill'!#REF!,"AAAAAFu4u68=")</f>
        <v>#REF!</v>
      </c>
      <c r="FU2" t="e">
        <f>AND('Pay Bill'!#REF!,"AAAAAFu4u7A=")</f>
        <v>#REF!</v>
      </c>
      <c r="FV2" t="e">
        <f>AND('Pay Bill'!#REF!,"AAAAAFu4u7E=")</f>
        <v>#REF!</v>
      </c>
      <c r="FW2" t="e">
        <f>AND('Pay Bill'!#REF!,"AAAAAFu4u7I=")</f>
        <v>#REF!</v>
      </c>
      <c r="FX2" t="e">
        <f>AND('Pay Bill'!#REF!,"AAAAAFu4u7M=")</f>
        <v>#REF!</v>
      </c>
      <c r="FY2" t="e">
        <f>AND('Pay Bill'!#REF!,"AAAAAFu4u7Q=")</f>
        <v>#REF!</v>
      </c>
      <c r="FZ2" t="e">
        <f>AND('Pay Bill'!#REF!,"AAAAAFu4u7U=")</f>
        <v>#REF!</v>
      </c>
      <c r="GA2" t="e">
        <f>AND('Pay Bill'!#REF!,"AAAAAFu4u7Y=")</f>
        <v>#REF!</v>
      </c>
      <c r="GB2" t="e">
        <f>AND('Pay Bill'!#REF!,"AAAAAFu4u7c=")</f>
        <v>#REF!</v>
      </c>
      <c r="GC2">
        <f>IF('Pay Bill'!19:19,"AAAAAFu4u7g=",0)</f>
        <v>0</v>
      </c>
      <c r="GD2" t="e">
        <f>AND('Pay Bill'!A19,"AAAAAFu4u7k=")</f>
        <v>#VALUE!</v>
      </c>
      <c r="GE2" t="e">
        <f>AND('Pay Bill'!B19,"AAAAAFu4u7o=")</f>
        <v>#VALUE!</v>
      </c>
      <c r="GF2" t="e">
        <f>AND('Pay Bill'!C19,"AAAAAFu4u7s=")</f>
        <v>#VALUE!</v>
      </c>
      <c r="GG2" t="e">
        <f>AND('Pay Bill'!D19,"AAAAAFu4u7w=")</f>
        <v>#VALUE!</v>
      </c>
      <c r="GH2" t="e">
        <f>AND('Pay Bill'!E19,"AAAAAFu4u70=")</f>
        <v>#VALUE!</v>
      </c>
      <c r="GI2" t="e">
        <f>AND('Pay Bill'!F19,"AAAAAFu4u74=")</f>
        <v>#VALUE!</v>
      </c>
      <c r="GJ2" t="e">
        <f>AND('Pay Bill'!#REF!,"AAAAAFu4u78=")</f>
        <v>#REF!</v>
      </c>
      <c r="GK2" t="e">
        <f>AND('Pay Bill'!H19,"AAAAAFu4u8A=")</f>
        <v>#VALUE!</v>
      </c>
      <c r="GL2" t="e">
        <f>AND('Pay Bill'!I19,"AAAAAFu4u8E=")</f>
        <v>#VALUE!</v>
      </c>
      <c r="GM2" t="e">
        <f>AND('Pay Bill'!J19,"AAAAAFu4u8I=")</f>
        <v>#VALUE!</v>
      </c>
      <c r="GN2" t="e">
        <f>AND('Pay Bill'!#REF!,"AAAAAFu4u8M=")</f>
        <v>#REF!</v>
      </c>
      <c r="GO2" t="e">
        <f>AND('Pay Bill'!#REF!,"AAAAAFu4u8Q=")</f>
        <v>#REF!</v>
      </c>
      <c r="GP2" t="e">
        <f>AND('Pay Bill'!#REF!,"AAAAAFu4u8U=")</f>
        <v>#REF!</v>
      </c>
      <c r="GQ2" t="e">
        <f>AND('Pay Bill'!K19,"AAAAAFu4u8Y=")</f>
        <v>#VALUE!</v>
      </c>
      <c r="GR2" t="e">
        <f>AND('Pay Bill'!L19,"AAAAAFu4u8c=")</f>
        <v>#VALUE!</v>
      </c>
      <c r="GS2" t="e">
        <f>AND('Pay Bill'!M19,"AAAAAFu4u8g=")</f>
        <v>#VALUE!</v>
      </c>
      <c r="GT2" t="e">
        <f>AND('Pay Bill'!#REF!,"AAAAAFu4u8k=")</f>
        <v>#REF!</v>
      </c>
      <c r="GU2" t="e">
        <f>AND('Pay Bill'!#REF!,"AAAAAFu4u8o=")</f>
        <v>#REF!</v>
      </c>
      <c r="GV2" t="e">
        <f>AND('Pay Bill'!#REF!,"AAAAAFu4u8s=")</f>
        <v>#REF!</v>
      </c>
      <c r="GW2" t="e">
        <f>AND('Pay Bill'!#REF!,"AAAAAFu4u8w=")</f>
        <v>#REF!</v>
      </c>
      <c r="GX2" t="e">
        <f>AND('Pay Bill'!N19,"AAAAAFu4u80=")</f>
        <v>#VALUE!</v>
      </c>
      <c r="GY2" t="e">
        <f>IF('Pay Bill'!#REF!,"AAAAAFu4u84=",0)</f>
        <v>#REF!</v>
      </c>
      <c r="GZ2" t="e">
        <f>AND('Pay Bill'!#REF!,"AAAAAFu4u88=")</f>
        <v>#REF!</v>
      </c>
      <c r="HA2" t="e">
        <f>AND('Pay Bill'!#REF!,"AAAAAFu4u9A=")</f>
        <v>#REF!</v>
      </c>
      <c r="HB2" t="e">
        <f>AND('Pay Bill'!#REF!,"AAAAAFu4u9E=")</f>
        <v>#REF!</v>
      </c>
      <c r="HC2" t="e">
        <f>AND('Pay Bill'!#REF!,"AAAAAFu4u9I=")</f>
        <v>#REF!</v>
      </c>
      <c r="HD2" t="e">
        <f>AND('Pay Bill'!#REF!,"AAAAAFu4u9M=")</f>
        <v>#REF!</v>
      </c>
      <c r="HE2" t="e">
        <f>AND('Pay Bill'!#REF!,"AAAAAFu4u9Q=")</f>
        <v>#REF!</v>
      </c>
      <c r="HF2" t="e">
        <f>AND('Pay Bill'!G19,"AAAAAFu4u9U=")</f>
        <v>#VALUE!</v>
      </c>
      <c r="HG2" t="e">
        <f>AND('Pay Bill'!#REF!,"AAAAAFu4u9Y=")</f>
        <v>#REF!</v>
      </c>
      <c r="HH2" t="e">
        <f>AND('Pay Bill'!#REF!,"AAAAAFu4u9c=")</f>
        <v>#REF!</v>
      </c>
      <c r="HI2" t="e">
        <f>AND('Pay Bill'!#REF!,"AAAAAFu4u9g=")</f>
        <v>#REF!</v>
      </c>
      <c r="HJ2" t="e">
        <f>AND('Pay Bill'!#REF!,"AAAAAFu4u9k=")</f>
        <v>#REF!</v>
      </c>
      <c r="HK2" t="e">
        <f>AND('Pay Bill'!#REF!,"AAAAAFu4u9o=")</f>
        <v>#REF!</v>
      </c>
      <c r="HL2" t="e">
        <f>AND('Pay Bill'!#REF!,"AAAAAFu4u9s=")</f>
        <v>#REF!</v>
      </c>
      <c r="HM2" t="e">
        <f>AND('Pay Bill'!#REF!,"AAAAAFu4u9w=")</f>
        <v>#REF!</v>
      </c>
      <c r="HN2" t="e">
        <f>AND('Pay Bill'!#REF!,"AAAAAFu4u90=")</f>
        <v>#REF!</v>
      </c>
      <c r="HO2" t="e">
        <f>AND('Pay Bill'!#REF!,"AAAAAFu4u94=")</f>
        <v>#REF!</v>
      </c>
      <c r="HP2" t="e">
        <f>AND('Pay Bill'!#REF!,"AAAAAFu4u98=")</f>
        <v>#REF!</v>
      </c>
      <c r="HQ2" t="e">
        <f>AND('Pay Bill'!#REF!,"AAAAAFu4u+A=")</f>
        <v>#REF!</v>
      </c>
      <c r="HR2" t="e">
        <f>AND('Pay Bill'!#REF!,"AAAAAFu4u+E=")</f>
        <v>#REF!</v>
      </c>
      <c r="HS2" t="e">
        <f>AND('Pay Bill'!#REF!,"AAAAAFu4u+I=")</f>
        <v>#REF!</v>
      </c>
      <c r="HT2" t="e">
        <f>AND('Pay Bill'!#REF!,"AAAAAFu4u+M=")</f>
        <v>#REF!</v>
      </c>
      <c r="HU2">
        <f>IF('Pay Bill'!22:22,"AAAAAFu4u+Q=",0)</f>
        <v>0</v>
      </c>
      <c r="HV2" t="e">
        <f>AND('Pay Bill'!A22,"AAAAAFu4u+U=")</f>
        <v>#VALUE!</v>
      </c>
      <c r="HW2" t="e">
        <f>AND('Pay Bill'!B22,"AAAAAFu4u+Y=")</f>
        <v>#VALUE!</v>
      </c>
      <c r="HX2" t="e">
        <f>AND('Pay Bill'!C22,"AAAAAFu4u+c=")</f>
        <v>#VALUE!</v>
      </c>
      <c r="HY2" t="e">
        <f>AND('Pay Bill'!D22,"AAAAAFu4u+g=")</f>
        <v>#VALUE!</v>
      </c>
      <c r="HZ2" t="e">
        <f>AND('Pay Bill'!E22,"AAAAAFu4u+k=")</f>
        <v>#VALUE!</v>
      </c>
      <c r="IA2" t="e">
        <f>AND('Pay Bill'!F22,"AAAAAFu4u+o=")</f>
        <v>#VALUE!</v>
      </c>
      <c r="IB2" t="e">
        <f>AND('Pay Bill'!#REF!,"AAAAAFu4u+s=")</f>
        <v>#REF!</v>
      </c>
      <c r="IC2" t="e">
        <f>AND('Pay Bill'!H22,"AAAAAFu4u+w=")</f>
        <v>#VALUE!</v>
      </c>
      <c r="ID2" t="e">
        <f>AND('Pay Bill'!I22,"AAAAAFu4u+0=")</f>
        <v>#VALUE!</v>
      </c>
      <c r="IE2" t="e">
        <f>AND('Pay Bill'!J22,"AAAAAFu4u+4=")</f>
        <v>#VALUE!</v>
      </c>
      <c r="IF2" t="e">
        <f>AND('Pay Bill'!#REF!,"AAAAAFu4u+8=")</f>
        <v>#REF!</v>
      </c>
      <c r="IG2" t="e">
        <f>AND('Pay Bill'!#REF!,"AAAAAFu4u/A=")</f>
        <v>#REF!</v>
      </c>
      <c r="IH2" t="e">
        <f>AND('Pay Bill'!#REF!,"AAAAAFu4u/E=")</f>
        <v>#REF!</v>
      </c>
      <c r="II2" t="e">
        <f>AND('Pay Bill'!K22,"AAAAAFu4u/I=")</f>
        <v>#VALUE!</v>
      </c>
      <c r="IJ2" t="e">
        <f>AND('Pay Bill'!L22,"AAAAAFu4u/M=")</f>
        <v>#VALUE!</v>
      </c>
      <c r="IK2" t="e">
        <f>AND('Pay Bill'!M22,"AAAAAFu4u/Q=")</f>
        <v>#VALUE!</v>
      </c>
      <c r="IL2" t="e">
        <f>AND('Pay Bill'!#REF!,"AAAAAFu4u/U=")</f>
        <v>#REF!</v>
      </c>
      <c r="IM2" t="e">
        <f>AND('Pay Bill'!#REF!,"AAAAAFu4u/Y=")</f>
        <v>#REF!</v>
      </c>
      <c r="IN2" t="e">
        <f>AND('Pay Bill'!#REF!,"AAAAAFu4u/c=")</f>
        <v>#REF!</v>
      </c>
      <c r="IO2" t="e">
        <f>AND('Pay Bill'!#REF!,"AAAAAFu4u/g=")</f>
        <v>#REF!</v>
      </c>
      <c r="IP2" t="e">
        <f>AND('Pay Bill'!N22,"AAAAAFu4u/k=")</f>
        <v>#VALUE!</v>
      </c>
      <c r="IQ2">
        <f>IF('Pay Bill'!23:23,"AAAAAFu4u/o=",0)</f>
        <v>0</v>
      </c>
      <c r="IR2" t="e">
        <f>AND('Pay Bill'!A23,"AAAAAFu4u/s=")</f>
        <v>#VALUE!</v>
      </c>
      <c r="IS2" t="e">
        <f>AND('Pay Bill'!B23,"AAAAAFu4u/w=")</f>
        <v>#VALUE!</v>
      </c>
      <c r="IT2" t="e">
        <f>AND('Pay Bill'!C23,"AAAAAFu4u/0=")</f>
        <v>#VALUE!</v>
      </c>
      <c r="IU2" t="e">
        <f>AND('Pay Bill'!D23,"AAAAAFu4u/4=")</f>
        <v>#VALUE!</v>
      </c>
      <c r="IV2" t="e">
        <f>AND('Pay Bill'!E23,"AAAAAFu4u/8=")</f>
        <v>#VALUE!</v>
      </c>
    </row>
    <row r="3" spans="1:256" x14ac:dyDescent="0.25">
      <c r="A3" t="e">
        <f>AND('Pay Bill'!F23,"AAAAAD//ZAA=")</f>
        <v>#VALUE!</v>
      </c>
      <c r="B3" t="e">
        <f>AND('Pay Bill'!G22,"AAAAAD//ZAE=")</f>
        <v>#VALUE!</v>
      </c>
      <c r="C3" t="e">
        <f>AND('Pay Bill'!H23,"AAAAAD//ZAI=")</f>
        <v>#VALUE!</v>
      </c>
      <c r="D3" t="e">
        <f>AND('Pay Bill'!I23,"AAAAAD//ZAM=")</f>
        <v>#VALUE!</v>
      </c>
      <c r="E3" t="e">
        <f>AND('Pay Bill'!J23,"AAAAAD//ZAQ=")</f>
        <v>#VALUE!</v>
      </c>
      <c r="F3" t="e">
        <f>AND('Pay Bill'!#REF!,"AAAAAD//ZAU=")</f>
        <v>#REF!</v>
      </c>
      <c r="G3" t="e">
        <f>AND('Pay Bill'!#REF!,"AAAAAD//ZAY=")</f>
        <v>#REF!</v>
      </c>
      <c r="H3" t="e">
        <f>AND('Pay Bill'!#REF!,"AAAAAD//ZAc=")</f>
        <v>#REF!</v>
      </c>
      <c r="I3" t="e">
        <f>AND('Pay Bill'!K23,"AAAAAD//ZAg=")</f>
        <v>#VALUE!</v>
      </c>
      <c r="J3" t="e">
        <f>AND('Pay Bill'!L23,"AAAAAD//ZAk=")</f>
        <v>#VALUE!</v>
      </c>
      <c r="K3" t="e">
        <f>AND('Pay Bill'!M23,"AAAAAD//ZAo=")</f>
        <v>#VALUE!</v>
      </c>
      <c r="L3" t="e">
        <f>AND('Pay Bill'!#REF!,"AAAAAD//ZAs=")</f>
        <v>#REF!</v>
      </c>
      <c r="M3" t="e">
        <f>AND('Pay Bill'!#REF!,"AAAAAD//ZAw=")</f>
        <v>#REF!</v>
      </c>
      <c r="N3" t="e">
        <f>AND('Pay Bill'!#REF!,"AAAAAD//ZA0=")</f>
        <v>#REF!</v>
      </c>
      <c r="O3" t="e">
        <f>AND('Pay Bill'!#REF!,"AAAAAD//ZA4=")</f>
        <v>#REF!</v>
      </c>
      <c r="P3" t="e">
        <f>AND('Pay Bill'!N23,"AAAAAD//ZA8=")</f>
        <v>#VALUE!</v>
      </c>
      <c r="Q3">
        <f>IF('Pay Bill'!24:24,"AAAAAD//ZBA=",0)</f>
        <v>0</v>
      </c>
      <c r="R3" t="e">
        <f>AND('Pay Bill'!A24,"AAAAAD//ZBE=")</f>
        <v>#VALUE!</v>
      </c>
      <c r="S3" t="e">
        <f>AND('Pay Bill'!B24,"AAAAAD//ZBI=")</f>
        <v>#VALUE!</v>
      </c>
      <c r="T3" t="e">
        <f>AND('Pay Bill'!C24,"AAAAAD//ZBM=")</f>
        <v>#VALUE!</v>
      </c>
      <c r="U3" t="e">
        <f>AND('Pay Bill'!D24,"AAAAAD//ZBQ=")</f>
        <v>#VALUE!</v>
      </c>
      <c r="V3" t="e">
        <f>AND('Pay Bill'!E24,"AAAAAD//ZBU=")</f>
        <v>#VALUE!</v>
      </c>
      <c r="W3" t="e">
        <f>AND('Pay Bill'!F24,"AAAAAD//ZBY=")</f>
        <v>#VALUE!</v>
      </c>
      <c r="X3" t="e">
        <f>AND('Pay Bill'!G23,"AAAAAD//ZBc=")</f>
        <v>#VALUE!</v>
      </c>
      <c r="Y3" t="e">
        <f>AND('Pay Bill'!H24,"AAAAAD//ZBg=")</f>
        <v>#VALUE!</v>
      </c>
      <c r="Z3" t="e">
        <f>AND('Pay Bill'!I24,"AAAAAD//ZBk=")</f>
        <v>#VALUE!</v>
      </c>
      <c r="AA3" t="e">
        <f>AND('Pay Bill'!J24,"AAAAAD//ZBo=")</f>
        <v>#VALUE!</v>
      </c>
      <c r="AB3" t="e">
        <f>AND('Pay Bill'!#REF!,"AAAAAD//ZBs=")</f>
        <v>#REF!</v>
      </c>
      <c r="AC3" t="e">
        <f>AND('Pay Bill'!#REF!,"AAAAAD//ZBw=")</f>
        <v>#REF!</v>
      </c>
      <c r="AD3" t="e">
        <f>AND('Pay Bill'!#REF!,"AAAAAD//ZB0=")</f>
        <v>#REF!</v>
      </c>
      <c r="AE3" t="e">
        <f>AND('Pay Bill'!K24,"AAAAAD//ZB4=")</f>
        <v>#VALUE!</v>
      </c>
      <c r="AF3" t="e">
        <f>AND('Pay Bill'!L24,"AAAAAD//ZB8=")</f>
        <v>#VALUE!</v>
      </c>
      <c r="AG3" t="e">
        <f>AND('Pay Bill'!M24,"AAAAAD//ZCA=")</f>
        <v>#VALUE!</v>
      </c>
      <c r="AH3" t="e">
        <f>AND('Pay Bill'!#REF!,"AAAAAD//ZCE=")</f>
        <v>#REF!</v>
      </c>
      <c r="AI3" t="e">
        <f>AND('Pay Bill'!#REF!,"AAAAAD//ZCI=")</f>
        <v>#REF!</v>
      </c>
      <c r="AJ3" t="e">
        <f>AND('Pay Bill'!#REF!,"AAAAAD//ZCM=")</f>
        <v>#REF!</v>
      </c>
      <c r="AK3" t="e">
        <f>AND('Pay Bill'!#REF!,"AAAAAD//ZCQ=")</f>
        <v>#REF!</v>
      </c>
      <c r="AL3" t="e">
        <f>AND('Pay Bill'!N24,"AAAAAD//ZCU=")</f>
        <v>#VALUE!</v>
      </c>
      <c r="AM3" t="e">
        <f>IF('Pay Bill'!#REF!,"AAAAAD//ZCY=",0)</f>
        <v>#REF!</v>
      </c>
      <c r="AN3" t="e">
        <f>AND('Pay Bill'!#REF!,"AAAAAD//ZCc=")</f>
        <v>#REF!</v>
      </c>
      <c r="AO3" t="e">
        <f>AND('Pay Bill'!#REF!,"AAAAAD//ZCg=")</f>
        <v>#REF!</v>
      </c>
      <c r="AP3" t="e">
        <f>AND('Pay Bill'!#REF!,"AAAAAD//ZCk=")</f>
        <v>#REF!</v>
      </c>
      <c r="AQ3" t="e">
        <f>AND('Pay Bill'!#REF!,"AAAAAD//ZCo=")</f>
        <v>#REF!</v>
      </c>
      <c r="AR3" t="e">
        <f>AND('Pay Bill'!#REF!,"AAAAAD//ZCs=")</f>
        <v>#REF!</v>
      </c>
      <c r="AS3" t="e">
        <f>AND('Pay Bill'!#REF!,"AAAAAD//ZCw=")</f>
        <v>#REF!</v>
      </c>
      <c r="AT3" t="e">
        <f>AND('Pay Bill'!#REF!,"AAAAAD//ZC0=")</f>
        <v>#REF!</v>
      </c>
      <c r="AU3" t="e">
        <f>AND('Pay Bill'!#REF!,"AAAAAD//ZC4=")</f>
        <v>#REF!</v>
      </c>
      <c r="AV3" t="e">
        <f>AND('Pay Bill'!#REF!,"AAAAAD//ZC8=")</f>
        <v>#REF!</v>
      </c>
      <c r="AW3" t="e">
        <f>AND('Pay Bill'!#REF!,"AAAAAD//ZDA=")</f>
        <v>#REF!</v>
      </c>
      <c r="AX3" t="e">
        <f>AND('Pay Bill'!#REF!,"AAAAAD//ZDE=")</f>
        <v>#REF!</v>
      </c>
      <c r="AY3" t="e">
        <f>AND('Pay Bill'!#REF!,"AAAAAD//ZDI=")</f>
        <v>#REF!</v>
      </c>
      <c r="AZ3" t="e">
        <f>AND('Pay Bill'!#REF!,"AAAAAD//ZDM=")</f>
        <v>#REF!</v>
      </c>
      <c r="BA3" t="e">
        <f>AND('Pay Bill'!#REF!,"AAAAAD//ZDQ=")</f>
        <v>#REF!</v>
      </c>
      <c r="BB3" t="e">
        <f>AND('Pay Bill'!#REF!,"AAAAAD//ZDU=")</f>
        <v>#REF!</v>
      </c>
      <c r="BC3" t="e">
        <f>AND('Pay Bill'!#REF!,"AAAAAD//ZDY=")</f>
        <v>#REF!</v>
      </c>
      <c r="BD3" t="e">
        <f>AND('Pay Bill'!#REF!,"AAAAAD//ZDc=")</f>
        <v>#REF!</v>
      </c>
      <c r="BE3" t="e">
        <f>AND('Pay Bill'!#REF!,"AAAAAD//ZDg=")</f>
        <v>#REF!</v>
      </c>
      <c r="BF3" t="e">
        <f>AND('Pay Bill'!#REF!,"AAAAAD//ZDk=")</f>
        <v>#REF!</v>
      </c>
      <c r="BG3" t="e">
        <f>AND('Pay Bill'!#REF!,"AAAAAD//ZDo=")</f>
        <v>#REF!</v>
      </c>
      <c r="BH3" t="e">
        <f>AND('Pay Bill'!#REF!,"AAAAAD//ZDs=")</f>
        <v>#REF!</v>
      </c>
      <c r="BI3">
        <f>IF('Pay Bill'!25:25,"AAAAAD//ZDw=",0)</f>
        <v>0</v>
      </c>
      <c r="BJ3" t="e">
        <f>AND('Pay Bill'!A25,"AAAAAD//ZD0=")</f>
        <v>#VALUE!</v>
      </c>
      <c r="BK3" t="e">
        <f>AND('Pay Bill'!B25,"AAAAAD//ZD4=")</f>
        <v>#VALUE!</v>
      </c>
      <c r="BL3" t="e">
        <f>AND('Pay Bill'!C25,"AAAAAD//ZD8=")</f>
        <v>#VALUE!</v>
      </c>
      <c r="BM3" t="e">
        <f>AND('Pay Bill'!D25,"AAAAAD//ZEA=")</f>
        <v>#VALUE!</v>
      </c>
      <c r="BN3" t="e">
        <f>AND('Pay Bill'!E25,"AAAAAD//ZEE=")</f>
        <v>#VALUE!</v>
      </c>
      <c r="BO3" t="e">
        <f>AND('Pay Bill'!F25,"AAAAAD//ZEI=")</f>
        <v>#VALUE!</v>
      </c>
      <c r="BP3" t="e">
        <f>AND('Pay Bill'!G25,"AAAAAD//ZEM=")</f>
        <v>#VALUE!</v>
      </c>
      <c r="BQ3" t="e">
        <f>AND('Pay Bill'!H25,"AAAAAD//ZEQ=")</f>
        <v>#VALUE!</v>
      </c>
      <c r="BR3" t="e">
        <f>AND('Pay Bill'!I25,"AAAAAD//ZEU=")</f>
        <v>#VALUE!</v>
      </c>
      <c r="BS3" t="e">
        <f>AND('Pay Bill'!J25,"AAAAAD//ZEY=")</f>
        <v>#VALUE!</v>
      </c>
      <c r="BT3" t="e">
        <f>AND('Pay Bill'!#REF!,"AAAAAD//ZEc=")</f>
        <v>#REF!</v>
      </c>
      <c r="BU3" t="e">
        <f>AND('Pay Bill'!#REF!,"AAAAAD//ZEg=")</f>
        <v>#REF!</v>
      </c>
      <c r="BV3" t="e">
        <f>AND('Pay Bill'!#REF!,"AAAAAD//ZEk=")</f>
        <v>#REF!</v>
      </c>
      <c r="BW3" t="e">
        <f>AND('Pay Bill'!K25,"AAAAAD//ZEo=")</f>
        <v>#VALUE!</v>
      </c>
      <c r="BX3" t="e">
        <f>AND('Pay Bill'!L25,"AAAAAD//ZEs=")</f>
        <v>#VALUE!</v>
      </c>
      <c r="BY3" t="e">
        <f>AND('Pay Bill'!M25,"AAAAAD//ZEw=")</f>
        <v>#VALUE!</v>
      </c>
      <c r="BZ3" t="e">
        <f>AND('Pay Bill'!#REF!,"AAAAAD//ZE0=")</f>
        <v>#REF!</v>
      </c>
      <c r="CA3" t="e">
        <f>AND('Pay Bill'!#REF!,"AAAAAD//ZE4=")</f>
        <v>#REF!</v>
      </c>
      <c r="CB3" t="e">
        <f>AND('Pay Bill'!#REF!,"AAAAAD//ZE8=")</f>
        <v>#REF!</v>
      </c>
      <c r="CC3" t="e">
        <f>AND('Pay Bill'!#REF!,"AAAAAD//ZFA=")</f>
        <v>#REF!</v>
      </c>
      <c r="CD3" t="e">
        <f>AND('Pay Bill'!N25,"AAAAAD//ZFE=")</f>
        <v>#VALUE!</v>
      </c>
      <c r="CE3" t="e">
        <f>IF('Pay Bill'!#REF!,"AAAAAD//ZFI=",0)</f>
        <v>#REF!</v>
      </c>
      <c r="CF3" t="e">
        <f>AND('Pay Bill'!#REF!,"AAAAAD//ZFM=")</f>
        <v>#REF!</v>
      </c>
      <c r="CG3" t="e">
        <f>AND('Pay Bill'!#REF!,"AAAAAD//ZFQ=")</f>
        <v>#REF!</v>
      </c>
      <c r="CH3" t="e">
        <f>AND('Pay Bill'!#REF!,"AAAAAD//ZFU=")</f>
        <v>#REF!</v>
      </c>
      <c r="CI3" t="e">
        <f>AND('Pay Bill'!#REF!,"AAAAAD//ZFY=")</f>
        <v>#REF!</v>
      </c>
      <c r="CJ3" t="e">
        <f>AND('Pay Bill'!#REF!,"AAAAAD//ZFc=")</f>
        <v>#REF!</v>
      </c>
      <c r="CK3" t="e">
        <f>AND('Pay Bill'!#REF!,"AAAAAD//ZFg=")</f>
        <v>#REF!</v>
      </c>
      <c r="CL3" t="e">
        <f>AND('Pay Bill'!#REF!,"AAAAAD//ZFk=")</f>
        <v>#REF!</v>
      </c>
      <c r="CM3" t="e">
        <f>AND('Pay Bill'!#REF!,"AAAAAD//ZFo=")</f>
        <v>#REF!</v>
      </c>
      <c r="CN3" t="e">
        <f>AND('Pay Bill'!#REF!,"AAAAAD//ZFs=")</f>
        <v>#REF!</v>
      </c>
      <c r="CO3" t="e">
        <f>AND('Pay Bill'!#REF!,"AAAAAD//ZFw=")</f>
        <v>#REF!</v>
      </c>
      <c r="CP3" t="e">
        <f>AND('Pay Bill'!#REF!,"AAAAAD//ZF0=")</f>
        <v>#REF!</v>
      </c>
      <c r="CQ3" t="e">
        <f>AND('Pay Bill'!#REF!,"AAAAAD//ZF4=")</f>
        <v>#REF!</v>
      </c>
      <c r="CR3" t="e">
        <f>AND('Pay Bill'!#REF!,"AAAAAD//ZF8=")</f>
        <v>#REF!</v>
      </c>
      <c r="CS3" t="e">
        <f>AND('Pay Bill'!#REF!,"AAAAAD//ZGA=")</f>
        <v>#REF!</v>
      </c>
      <c r="CT3" t="e">
        <f>AND('Pay Bill'!#REF!,"AAAAAD//ZGE=")</f>
        <v>#REF!</v>
      </c>
      <c r="CU3" t="e">
        <f>AND('Pay Bill'!#REF!,"AAAAAD//ZGI=")</f>
        <v>#REF!</v>
      </c>
      <c r="CV3" t="e">
        <f>AND('Pay Bill'!#REF!,"AAAAAD//ZGM=")</f>
        <v>#REF!</v>
      </c>
      <c r="CW3" t="e">
        <f>AND('Pay Bill'!#REF!,"AAAAAD//ZGQ=")</f>
        <v>#REF!</v>
      </c>
      <c r="CX3" t="e">
        <f>AND('Pay Bill'!#REF!,"AAAAAD//ZGU=")</f>
        <v>#REF!</v>
      </c>
      <c r="CY3" t="e">
        <f>AND('Pay Bill'!#REF!,"AAAAAD//ZGY=")</f>
        <v>#REF!</v>
      </c>
      <c r="CZ3" t="e">
        <f>AND('Pay Bill'!#REF!,"AAAAAD//ZGc=")</f>
        <v>#REF!</v>
      </c>
      <c r="DA3">
        <f>IF('Pay Bill'!27:27,"AAAAAD//ZGg=",0)</f>
        <v>0</v>
      </c>
      <c r="DB3" t="e">
        <f>AND('Pay Bill'!A27,"AAAAAD//ZGk=")</f>
        <v>#VALUE!</v>
      </c>
      <c r="DC3" t="e">
        <f>AND('Pay Bill'!B27,"AAAAAD//ZGo=")</f>
        <v>#VALUE!</v>
      </c>
      <c r="DD3" t="e">
        <f>AND('Pay Bill'!C27,"AAAAAD//ZGs=")</f>
        <v>#VALUE!</v>
      </c>
      <c r="DE3" t="e">
        <f>AND('Pay Bill'!D27,"AAAAAD//ZGw=")</f>
        <v>#VALUE!</v>
      </c>
      <c r="DF3" t="e">
        <f>AND('Pay Bill'!E27,"AAAAAD//ZG0=")</f>
        <v>#VALUE!</v>
      </c>
      <c r="DG3" t="e">
        <f>AND('Pay Bill'!F27,"AAAAAD//ZG4=")</f>
        <v>#VALUE!</v>
      </c>
      <c r="DH3" t="e">
        <f>AND('Pay Bill'!G27,"AAAAAD//ZG8=")</f>
        <v>#VALUE!</v>
      </c>
      <c r="DI3" t="e">
        <f>AND('Pay Bill'!H27,"AAAAAD//ZHA=")</f>
        <v>#VALUE!</v>
      </c>
      <c r="DJ3" t="e">
        <f>AND('Pay Bill'!I27,"AAAAAD//ZHE=")</f>
        <v>#VALUE!</v>
      </c>
      <c r="DK3" t="e">
        <f>AND('Pay Bill'!J27,"AAAAAD//ZHI=")</f>
        <v>#VALUE!</v>
      </c>
      <c r="DL3" t="e">
        <f>AND('Pay Bill'!#REF!,"AAAAAD//ZHM=")</f>
        <v>#REF!</v>
      </c>
      <c r="DM3" t="e">
        <f>AND('Pay Bill'!#REF!,"AAAAAD//ZHQ=")</f>
        <v>#REF!</v>
      </c>
      <c r="DN3" t="e">
        <f>AND('Pay Bill'!#REF!,"AAAAAD//ZHU=")</f>
        <v>#REF!</v>
      </c>
      <c r="DO3" t="e">
        <f>AND('Pay Bill'!K27,"AAAAAD//ZHY=")</f>
        <v>#VALUE!</v>
      </c>
      <c r="DP3" t="e">
        <f>AND('Pay Bill'!L27,"AAAAAD//ZHc=")</f>
        <v>#VALUE!</v>
      </c>
      <c r="DQ3" t="e">
        <f>AND('Pay Bill'!M27,"AAAAAD//ZHg=")</f>
        <v>#VALUE!</v>
      </c>
      <c r="DR3" t="e">
        <f>AND('Pay Bill'!#REF!,"AAAAAD//ZHk=")</f>
        <v>#REF!</v>
      </c>
      <c r="DS3" t="e">
        <f>AND('Pay Bill'!#REF!,"AAAAAD//ZHo=")</f>
        <v>#REF!</v>
      </c>
      <c r="DT3" t="e">
        <f>AND('Pay Bill'!#REF!,"AAAAAD//ZHs=")</f>
        <v>#REF!</v>
      </c>
      <c r="DU3" t="e">
        <f>AND('Pay Bill'!#REF!,"AAAAAD//ZHw=")</f>
        <v>#REF!</v>
      </c>
      <c r="DV3" t="e">
        <f>AND('Pay Bill'!N27,"AAAAAD//ZH0=")</f>
        <v>#VALUE!</v>
      </c>
      <c r="DW3" t="e">
        <f>IF('Pay Bill'!#REF!,"AAAAAD//ZH4=",0)</f>
        <v>#REF!</v>
      </c>
      <c r="DX3" t="e">
        <f>AND('Pay Bill'!#REF!,"AAAAAD//ZH8=")</f>
        <v>#REF!</v>
      </c>
      <c r="DY3" t="e">
        <f>AND('Pay Bill'!#REF!,"AAAAAD//ZIA=")</f>
        <v>#REF!</v>
      </c>
      <c r="DZ3" t="e">
        <f>AND('Pay Bill'!#REF!,"AAAAAD//ZIE=")</f>
        <v>#REF!</v>
      </c>
      <c r="EA3" t="e">
        <f>AND('Pay Bill'!#REF!,"AAAAAD//ZII=")</f>
        <v>#REF!</v>
      </c>
      <c r="EB3" t="e">
        <f>AND('Pay Bill'!#REF!,"AAAAAD//ZIM=")</f>
        <v>#REF!</v>
      </c>
      <c r="EC3" t="e">
        <f>AND('Pay Bill'!#REF!,"AAAAAD//ZIQ=")</f>
        <v>#REF!</v>
      </c>
      <c r="ED3" t="e">
        <f>AND('Pay Bill'!#REF!,"AAAAAD//ZIU=")</f>
        <v>#REF!</v>
      </c>
      <c r="EE3" t="e">
        <f>AND('Pay Bill'!#REF!,"AAAAAD//ZIY=")</f>
        <v>#REF!</v>
      </c>
      <c r="EF3" t="e">
        <f>AND('Pay Bill'!#REF!,"AAAAAD//ZIc=")</f>
        <v>#REF!</v>
      </c>
      <c r="EG3" t="e">
        <f>AND('Pay Bill'!#REF!,"AAAAAD//ZIg=")</f>
        <v>#REF!</v>
      </c>
      <c r="EH3" t="e">
        <f>AND('Pay Bill'!#REF!,"AAAAAD//ZIk=")</f>
        <v>#REF!</v>
      </c>
      <c r="EI3" t="e">
        <f>AND('Pay Bill'!#REF!,"AAAAAD//ZIo=")</f>
        <v>#REF!</v>
      </c>
      <c r="EJ3" t="e">
        <f>AND('Pay Bill'!#REF!,"AAAAAD//ZIs=")</f>
        <v>#REF!</v>
      </c>
      <c r="EK3" t="e">
        <f>AND('Pay Bill'!#REF!,"AAAAAD//ZIw=")</f>
        <v>#REF!</v>
      </c>
      <c r="EL3" t="e">
        <f>AND('Pay Bill'!#REF!,"AAAAAD//ZI0=")</f>
        <v>#REF!</v>
      </c>
      <c r="EM3" t="e">
        <f>AND('Pay Bill'!#REF!,"AAAAAD//ZI4=")</f>
        <v>#REF!</v>
      </c>
      <c r="EN3" t="e">
        <f>AND('Pay Bill'!#REF!,"AAAAAD//ZI8=")</f>
        <v>#REF!</v>
      </c>
      <c r="EO3" t="e">
        <f>AND('Pay Bill'!#REF!,"AAAAAD//ZJA=")</f>
        <v>#REF!</v>
      </c>
      <c r="EP3" t="e">
        <f>AND('Pay Bill'!#REF!,"AAAAAD//ZJE=")</f>
        <v>#REF!</v>
      </c>
      <c r="EQ3" t="e">
        <f>AND('Pay Bill'!#REF!,"AAAAAD//ZJI=")</f>
        <v>#REF!</v>
      </c>
      <c r="ER3" t="e">
        <f>AND('Pay Bill'!#REF!,"AAAAAD//ZJM=")</f>
        <v>#REF!</v>
      </c>
      <c r="ES3">
        <f>IF('Pay Bill'!29:29,"AAAAAD//ZJQ=",0)</f>
        <v>0</v>
      </c>
      <c r="ET3" t="e">
        <f>AND('Pay Bill'!A29,"AAAAAD//ZJU=")</f>
        <v>#VALUE!</v>
      </c>
      <c r="EU3" t="e">
        <f>AND('Pay Bill'!B29,"AAAAAD//ZJY=")</f>
        <v>#VALUE!</v>
      </c>
      <c r="EV3" t="e">
        <f>AND('Pay Bill'!C29,"AAAAAD//ZJc=")</f>
        <v>#VALUE!</v>
      </c>
      <c r="EW3" t="e">
        <f>AND('Pay Bill'!D29,"AAAAAD//ZJg=")</f>
        <v>#VALUE!</v>
      </c>
      <c r="EX3" t="e">
        <f>AND('Pay Bill'!E29,"AAAAAD//ZJk=")</f>
        <v>#VALUE!</v>
      </c>
      <c r="EY3" t="e">
        <f>AND('Pay Bill'!F29,"AAAAAD//ZJo=")</f>
        <v>#VALUE!</v>
      </c>
      <c r="EZ3" t="e">
        <f>AND('Pay Bill'!G29,"AAAAAD//ZJs=")</f>
        <v>#VALUE!</v>
      </c>
      <c r="FA3" t="e">
        <f>AND('Pay Bill'!H29,"AAAAAD//ZJw=")</f>
        <v>#VALUE!</v>
      </c>
      <c r="FB3" t="e">
        <f>AND('Pay Bill'!I29,"AAAAAD//ZJ0=")</f>
        <v>#VALUE!</v>
      </c>
      <c r="FC3" t="e">
        <f>AND('Pay Bill'!J29,"AAAAAD//ZJ4=")</f>
        <v>#VALUE!</v>
      </c>
      <c r="FD3" t="e">
        <f>AND('Pay Bill'!#REF!,"AAAAAD//ZJ8=")</f>
        <v>#REF!</v>
      </c>
      <c r="FE3" t="e">
        <f>AND('Pay Bill'!#REF!,"AAAAAD//ZKA=")</f>
        <v>#REF!</v>
      </c>
      <c r="FF3" t="e">
        <f>AND('Pay Bill'!#REF!,"AAAAAD//ZKE=")</f>
        <v>#REF!</v>
      </c>
      <c r="FG3" t="e">
        <f>AND('Pay Bill'!K29,"AAAAAD//ZKI=")</f>
        <v>#VALUE!</v>
      </c>
      <c r="FH3" t="e">
        <f>AND('Pay Bill'!L29,"AAAAAD//ZKM=")</f>
        <v>#VALUE!</v>
      </c>
      <c r="FI3" t="e">
        <f>AND('Pay Bill'!M29,"AAAAAD//ZKQ=")</f>
        <v>#VALUE!</v>
      </c>
      <c r="FJ3" t="e">
        <f>AND('Pay Bill'!#REF!,"AAAAAD//ZKU=")</f>
        <v>#REF!</v>
      </c>
      <c r="FK3" t="e">
        <f>AND('Pay Bill'!#REF!,"AAAAAD//ZKY=")</f>
        <v>#REF!</v>
      </c>
      <c r="FL3" t="e">
        <f>AND('Pay Bill'!#REF!,"AAAAAD//ZKc=")</f>
        <v>#REF!</v>
      </c>
      <c r="FM3" t="e">
        <f>AND('Pay Bill'!#REF!,"AAAAAD//ZKg=")</f>
        <v>#REF!</v>
      </c>
      <c r="FN3" t="e">
        <f>AND('Pay Bill'!N29,"AAAAAD//ZKk=")</f>
        <v>#VALUE!</v>
      </c>
      <c r="FO3">
        <f>IF('Pay Bill'!30:30,"AAAAAD//ZKo=",0)</f>
        <v>0</v>
      </c>
      <c r="FP3" t="e">
        <f>AND('Pay Bill'!A30,"AAAAAD//ZKs=")</f>
        <v>#VALUE!</v>
      </c>
      <c r="FQ3" t="e">
        <f>AND('Pay Bill'!B30,"AAAAAD//ZKw=")</f>
        <v>#VALUE!</v>
      </c>
      <c r="FR3" t="e">
        <f>AND('Pay Bill'!C30,"AAAAAD//ZK0=")</f>
        <v>#VALUE!</v>
      </c>
      <c r="FS3" t="e">
        <f>AND('Pay Bill'!D30,"AAAAAD//ZK4=")</f>
        <v>#VALUE!</v>
      </c>
      <c r="FT3" t="e">
        <f>AND('Pay Bill'!E30,"AAAAAD//ZK8=")</f>
        <v>#VALUE!</v>
      </c>
      <c r="FU3" t="e">
        <f>AND('Pay Bill'!F30,"AAAAAD//ZLA=")</f>
        <v>#VALUE!</v>
      </c>
      <c r="FV3" t="e">
        <f>AND('Pay Bill'!G30,"AAAAAD//ZLE=")</f>
        <v>#VALUE!</v>
      </c>
      <c r="FW3" t="e">
        <f>AND('Pay Bill'!H30,"AAAAAD//ZLI=")</f>
        <v>#VALUE!</v>
      </c>
      <c r="FX3" t="e">
        <f>AND('Pay Bill'!I30,"AAAAAD//ZLM=")</f>
        <v>#VALUE!</v>
      </c>
      <c r="FY3" t="e">
        <f>AND('Pay Bill'!J30,"AAAAAD//ZLQ=")</f>
        <v>#VALUE!</v>
      </c>
      <c r="FZ3" t="e">
        <f>AND('Pay Bill'!#REF!,"AAAAAD//ZLU=")</f>
        <v>#REF!</v>
      </c>
      <c r="GA3" t="e">
        <f>AND('Pay Bill'!#REF!,"AAAAAD//ZLY=")</f>
        <v>#REF!</v>
      </c>
      <c r="GB3" t="e">
        <f>AND('Pay Bill'!#REF!,"AAAAAD//ZLc=")</f>
        <v>#REF!</v>
      </c>
      <c r="GC3" t="e">
        <f>AND('Pay Bill'!K30,"AAAAAD//ZLg=")</f>
        <v>#VALUE!</v>
      </c>
      <c r="GD3" t="e">
        <f>AND('Pay Bill'!L30,"AAAAAD//ZLk=")</f>
        <v>#VALUE!</v>
      </c>
      <c r="GE3" t="e">
        <f>AND('Pay Bill'!M30,"AAAAAD//ZLo=")</f>
        <v>#VALUE!</v>
      </c>
      <c r="GF3" t="e">
        <f>AND('Pay Bill'!#REF!,"AAAAAD//ZLs=")</f>
        <v>#REF!</v>
      </c>
      <c r="GG3" t="e">
        <f>AND('Pay Bill'!#REF!,"AAAAAD//ZLw=")</f>
        <v>#REF!</v>
      </c>
      <c r="GH3" t="e">
        <f>AND('Pay Bill'!#REF!,"AAAAAD//ZL0=")</f>
        <v>#REF!</v>
      </c>
      <c r="GI3" t="e">
        <f>AND('Pay Bill'!#REF!,"AAAAAD//ZL4=")</f>
        <v>#REF!</v>
      </c>
      <c r="GJ3" t="e">
        <f>AND('Pay Bill'!N30,"AAAAAD//ZL8=")</f>
        <v>#VALUE!</v>
      </c>
      <c r="GK3">
        <f>IF('Pay Bill'!31:31,"AAAAAD//ZMA=",0)</f>
        <v>0</v>
      </c>
      <c r="GL3" t="e">
        <f>AND('Pay Bill'!A31,"AAAAAD//ZME=")</f>
        <v>#VALUE!</v>
      </c>
      <c r="GM3" t="e">
        <f>AND('Pay Bill'!B31,"AAAAAD//ZMI=")</f>
        <v>#VALUE!</v>
      </c>
      <c r="GN3" t="e">
        <f>AND('Pay Bill'!C31,"AAAAAD//ZMM=")</f>
        <v>#VALUE!</v>
      </c>
      <c r="GO3" t="e">
        <f>AND('Pay Bill'!D31,"AAAAAD//ZMQ=")</f>
        <v>#VALUE!</v>
      </c>
      <c r="GP3" t="e">
        <f>AND('Pay Bill'!E31,"AAAAAD//ZMU=")</f>
        <v>#VALUE!</v>
      </c>
      <c r="GQ3" t="e">
        <f>AND('Pay Bill'!F31,"AAAAAD//ZMY=")</f>
        <v>#VALUE!</v>
      </c>
      <c r="GR3" t="e">
        <f>AND('Pay Bill'!G31,"AAAAAD//ZMc=")</f>
        <v>#VALUE!</v>
      </c>
      <c r="GS3" t="e">
        <f>AND('Pay Bill'!H31,"AAAAAD//ZMg=")</f>
        <v>#VALUE!</v>
      </c>
      <c r="GT3" t="e">
        <f>AND('Pay Bill'!I31,"AAAAAD//ZMk=")</f>
        <v>#VALUE!</v>
      </c>
      <c r="GU3" t="e">
        <f>AND('Pay Bill'!J31,"AAAAAD//ZMo=")</f>
        <v>#VALUE!</v>
      </c>
      <c r="GV3" t="e">
        <f>AND('Pay Bill'!#REF!,"AAAAAD//ZMs=")</f>
        <v>#REF!</v>
      </c>
      <c r="GW3" t="e">
        <f>AND('Pay Bill'!#REF!,"AAAAAD//ZMw=")</f>
        <v>#REF!</v>
      </c>
      <c r="GX3" t="e">
        <f>AND('Pay Bill'!#REF!,"AAAAAD//ZM0=")</f>
        <v>#REF!</v>
      </c>
      <c r="GY3" t="e">
        <f>AND('Pay Bill'!K31,"AAAAAD//ZM4=")</f>
        <v>#VALUE!</v>
      </c>
      <c r="GZ3" t="e">
        <f>AND('Pay Bill'!L31,"AAAAAD//ZM8=")</f>
        <v>#VALUE!</v>
      </c>
      <c r="HA3" t="e">
        <f>AND('Pay Bill'!M31,"AAAAAD//ZNA=")</f>
        <v>#VALUE!</v>
      </c>
      <c r="HB3" t="e">
        <f>AND('Pay Bill'!#REF!,"AAAAAD//ZNE=")</f>
        <v>#REF!</v>
      </c>
      <c r="HC3" t="e">
        <f>AND('Pay Bill'!#REF!,"AAAAAD//ZNI=")</f>
        <v>#REF!</v>
      </c>
      <c r="HD3" t="e">
        <f>AND('Pay Bill'!#REF!,"AAAAAD//ZNM=")</f>
        <v>#REF!</v>
      </c>
      <c r="HE3" t="e">
        <f>AND('Pay Bill'!#REF!,"AAAAAD//ZNQ=")</f>
        <v>#REF!</v>
      </c>
      <c r="HF3" t="e">
        <f>AND('Pay Bill'!N31,"AAAAAD//ZNU=")</f>
        <v>#VALUE!</v>
      </c>
      <c r="HG3">
        <f>IF('Pay Bill'!32:32,"AAAAAD//ZNY=",0)</f>
        <v>0</v>
      </c>
      <c r="HH3" t="e">
        <f>AND('Pay Bill'!A32,"AAAAAD//ZNc=")</f>
        <v>#VALUE!</v>
      </c>
      <c r="HI3" t="e">
        <f>AND('Pay Bill'!B32,"AAAAAD//ZNg=")</f>
        <v>#VALUE!</v>
      </c>
      <c r="HJ3" t="e">
        <f>AND('Pay Bill'!C32,"AAAAAD//ZNk=")</f>
        <v>#VALUE!</v>
      </c>
      <c r="HK3" t="e">
        <f>AND('Pay Bill'!D32,"AAAAAD//ZNo=")</f>
        <v>#VALUE!</v>
      </c>
      <c r="HL3" t="e">
        <f>AND('Pay Bill'!E32,"AAAAAD//ZNs=")</f>
        <v>#VALUE!</v>
      </c>
      <c r="HM3" t="e">
        <f>AND('Pay Bill'!F32,"AAAAAD//ZNw=")</f>
        <v>#VALUE!</v>
      </c>
      <c r="HN3" t="e">
        <f>AND('Pay Bill'!G32,"AAAAAD//ZN0=")</f>
        <v>#VALUE!</v>
      </c>
      <c r="HO3" t="e">
        <f>AND('Pay Bill'!H32,"AAAAAD//ZN4=")</f>
        <v>#VALUE!</v>
      </c>
      <c r="HP3" t="e">
        <f>AND('Pay Bill'!I32,"AAAAAD//ZN8=")</f>
        <v>#VALUE!</v>
      </c>
      <c r="HQ3" t="e">
        <f>AND('Pay Bill'!J32,"AAAAAD//ZOA=")</f>
        <v>#VALUE!</v>
      </c>
      <c r="HR3" t="e">
        <f>AND('Pay Bill'!#REF!,"AAAAAD//ZOE=")</f>
        <v>#REF!</v>
      </c>
      <c r="HS3" t="e">
        <f>AND('Pay Bill'!#REF!,"AAAAAD//ZOI=")</f>
        <v>#REF!</v>
      </c>
      <c r="HT3" t="e">
        <f>AND('Pay Bill'!#REF!,"AAAAAD//ZOM=")</f>
        <v>#REF!</v>
      </c>
      <c r="HU3" t="e">
        <f>AND('Pay Bill'!K32,"AAAAAD//ZOQ=")</f>
        <v>#VALUE!</v>
      </c>
      <c r="HV3" t="e">
        <f>AND('Pay Bill'!L32,"AAAAAD//ZOU=")</f>
        <v>#VALUE!</v>
      </c>
      <c r="HW3" t="e">
        <f>AND('Pay Bill'!M32,"AAAAAD//ZOY=")</f>
        <v>#VALUE!</v>
      </c>
      <c r="HX3" t="e">
        <f>AND('Pay Bill'!#REF!,"AAAAAD//ZOc=")</f>
        <v>#REF!</v>
      </c>
      <c r="HY3" t="e">
        <f>AND('Pay Bill'!#REF!,"AAAAAD//ZOg=")</f>
        <v>#REF!</v>
      </c>
      <c r="HZ3" t="e">
        <f>AND('Pay Bill'!#REF!,"AAAAAD//ZOk=")</f>
        <v>#REF!</v>
      </c>
      <c r="IA3" t="e">
        <f>AND('Pay Bill'!#REF!,"AAAAAD//ZOo=")</f>
        <v>#REF!</v>
      </c>
      <c r="IB3" t="e">
        <f>AND('Pay Bill'!N32,"AAAAAD//ZOs=")</f>
        <v>#VALUE!</v>
      </c>
      <c r="IC3">
        <f>IF('Pay Bill'!38:38,"AAAAAD//ZOw=",0)</f>
        <v>0</v>
      </c>
      <c r="ID3" t="e">
        <f>AND('Pay Bill'!A38,"AAAAAD//ZO0=")</f>
        <v>#VALUE!</v>
      </c>
      <c r="IE3" t="e">
        <f>AND('Pay Bill'!B38,"AAAAAD//ZO4=")</f>
        <v>#VALUE!</v>
      </c>
      <c r="IF3" t="e">
        <f>AND('Pay Bill'!C38,"AAAAAD//ZO8=")</f>
        <v>#VALUE!</v>
      </c>
      <c r="IG3" t="e">
        <f>AND('Pay Bill'!D38,"AAAAAD//ZPA=")</f>
        <v>#VALUE!</v>
      </c>
      <c r="IH3" t="e">
        <f>AND('Pay Bill'!E38,"AAAAAD//ZPE=")</f>
        <v>#VALUE!</v>
      </c>
      <c r="II3" t="e">
        <f>AND('Pay Bill'!F38,"AAAAAD//ZPI=")</f>
        <v>#VALUE!</v>
      </c>
      <c r="IJ3" t="e">
        <f>AND('Pay Bill'!G38,"AAAAAD//ZPM=")</f>
        <v>#VALUE!</v>
      </c>
      <c r="IK3" t="e">
        <f>AND('Pay Bill'!H38,"AAAAAD//ZPQ=")</f>
        <v>#VALUE!</v>
      </c>
      <c r="IL3" t="e">
        <f>AND('Pay Bill'!I38,"AAAAAD//ZPU=")</f>
        <v>#VALUE!</v>
      </c>
      <c r="IM3" t="e">
        <f>AND('Pay Bill'!J38,"AAAAAD//ZPY=")</f>
        <v>#VALUE!</v>
      </c>
      <c r="IN3" t="e">
        <f>AND('Pay Bill'!#REF!,"AAAAAD//ZPc=")</f>
        <v>#REF!</v>
      </c>
      <c r="IO3" t="e">
        <f>AND('Pay Bill'!#REF!,"AAAAAD//ZPg=")</f>
        <v>#REF!</v>
      </c>
      <c r="IP3" t="e">
        <f>AND('Pay Bill'!#REF!,"AAAAAD//ZPk=")</f>
        <v>#REF!</v>
      </c>
      <c r="IQ3" t="e">
        <f>AND('Pay Bill'!K38,"AAAAAD//ZPo=")</f>
        <v>#VALUE!</v>
      </c>
      <c r="IR3" t="e">
        <f>AND('Pay Bill'!L38,"AAAAAD//ZPs=")</f>
        <v>#VALUE!</v>
      </c>
      <c r="IS3" t="e">
        <f>AND('Pay Bill'!M38,"AAAAAD//ZPw=")</f>
        <v>#VALUE!</v>
      </c>
      <c r="IT3" t="e">
        <f>AND('Pay Bill'!#REF!,"AAAAAD//ZP0=")</f>
        <v>#REF!</v>
      </c>
      <c r="IU3" t="e">
        <f>AND('Pay Bill'!#REF!,"AAAAAD//ZP4=")</f>
        <v>#REF!</v>
      </c>
      <c r="IV3" t="e">
        <f>AND('Pay Bill'!#REF!,"AAAAAD//ZP8=")</f>
        <v>#REF!</v>
      </c>
    </row>
    <row r="4" spans="1:155" x14ac:dyDescent="0.25">
      <c r="A4" t="e">
        <f>AND('Pay Bill'!#REF!,"AAAAAFBt1QA=")</f>
        <v>#REF!</v>
      </c>
      <c r="B4" t="e">
        <f>AND('Pay Bill'!N38,"AAAAAFBt1QE=")</f>
        <v>#VALUE!</v>
      </c>
      <c r="C4">
        <f>IF('Pay Bill'!39:39,"AAAAAFBt1QI=",0)</f>
        <v>0</v>
      </c>
      <c r="D4" t="e">
        <f>AND('Pay Bill'!A39,"AAAAAFBt1QM=")</f>
        <v>#VALUE!</v>
      </c>
      <c r="E4" t="e">
        <f>AND('Pay Bill'!B39,"AAAAAFBt1QQ=")</f>
        <v>#VALUE!</v>
      </c>
      <c r="F4" t="e">
        <f>AND('Pay Bill'!C39,"AAAAAFBt1QU=")</f>
        <v>#VALUE!</v>
      </c>
      <c r="G4" t="e">
        <f>AND('Pay Bill'!D39,"AAAAAFBt1QY=")</f>
        <v>#VALUE!</v>
      </c>
      <c r="H4" t="e">
        <f>AND('Pay Bill'!E39,"AAAAAFBt1Qc=")</f>
        <v>#VALUE!</v>
      </c>
      <c r="I4" t="e">
        <f>AND('Pay Bill'!F39,"AAAAAFBt1Qg=")</f>
        <v>#VALUE!</v>
      </c>
      <c r="J4" t="e">
        <f>AND('Pay Bill'!G39,"AAAAAFBt1Qk=")</f>
        <v>#VALUE!</v>
      </c>
      <c r="K4" t="e">
        <f>AND('Pay Bill'!H39,"AAAAAFBt1Qo=")</f>
        <v>#VALUE!</v>
      </c>
      <c r="L4" t="e">
        <f>AND('Pay Bill'!I39,"AAAAAFBt1Qs=")</f>
        <v>#VALUE!</v>
      </c>
      <c r="M4" t="e">
        <f>AND('Pay Bill'!J39,"AAAAAFBt1Qw=")</f>
        <v>#VALUE!</v>
      </c>
      <c r="N4" t="e">
        <f>AND('Pay Bill'!#REF!,"AAAAAFBt1Q0=")</f>
        <v>#REF!</v>
      </c>
      <c r="O4" t="e">
        <f>AND('Pay Bill'!#REF!,"AAAAAFBt1Q4=")</f>
        <v>#REF!</v>
      </c>
      <c r="P4" t="e">
        <f>AND('Pay Bill'!#REF!,"AAAAAFBt1Q8=")</f>
        <v>#REF!</v>
      </c>
      <c r="Q4" t="e">
        <f>AND('Pay Bill'!K39,"AAAAAFBt1RA=")</f>
        <v>#VALUE!</v>
      </c>
      <c r="R4" t="e">
        <f>AND('Pay Bill'!L39,"AAAAAFBt1RE=")</f>
        <v>#VALUE!</v>
      </c>
      <c r="S4" t="e">
        <f>AND('Pay Bill'!M39,"AAAAAFBt1RI=")</f>
        <v>#VALUE!</v>
      </c>
      <c r="T4" t="e">
        <f>AND('Pay Bill'!#REF!,"AAAAAFBt1RM=")</f>
        <v>#REF!</v>
      </c>
      <c r="U4" t="e">
        <f>AND('Pay Bill'!#REF!,"AAAAAFBt1RQ=")</f>
        <v>#REF!</v>
      </c>
      <c r="V4" t="e">
        <f>AND('Pay Bill'!#REF!,"AAAAAFBt1RU=")</f>
        <v>#REF!</v>
      </c>
      <c r="W4" t="e">
        <f>AND('Pay Bill'!#REF!,"AAAAAFBt1RY=")</f>
        <v>#REF!</v>
      </c>
      <c r="X4" t="e">
        <f>AND('Pay Bill'!N39,"AAAAAFBt1Rc=")</f>
        <v>#VALUE!</v>
      </c>
      <c r="Y4">
        <f>IF('Pay Bill'!40:40,"AAAAAFBt1Rg=",0)</f>
        <v>0</v>
      </c>
      <c r="Z4" t="e">
        <f>AND('Pay Bill'!A40,"AAAAAFBt1Rk=")</f>
        <v>#VALUE!</v>
      </c>
      <c r="AA4" t="e">
        <f>AND('Pay Bill'!B40,"AAAAAFBt1Ro=")</f>
        <v>#VALUE!</v>
      </c>
      <c r="AB4" t="e">
        <f>AND('Pay Bill'!C40,"AAAAAFBt1Rs=")</f>
        <v>#VALUE!</v>
      </c>
      <c r="AC4" t="e">
        <f>AND('Pay Bill'!D40,"AAAAAFBt1Rw=")</f>
        <v>#VALUE!</v>
      </c>
      <c r="AD4" t="e">
        <f>AND('Pay Bill'!E40,"AAAAAFBt1R0=")</f>
        <v>#VALUE!</v>
      </c>
      <c r="AE4" t="e">
        <f>AND('Pay Bill'!F40,"AAAAAFBt1R4=")</f>
        <v>#VALUE!</v>
      </c>
      <c r="AF4" t="e">
        <f>AND('Pay Bill'!G40,"AAAAAFBt1R8=")</f>
        <v>#VALUE!</v>
      </c>
      <c r="AG4" t="e">
        <f>AND('Pay Bill'!H40,"AAAAAFBt1SA=")</f>
        <v>#VALUE!</v>
      </c>
      <c r="AH4" t="e">
        <f>AND('Pay Bill'!I40,"AAAAAFBt1SE=")</f>
        <v>#VALUE!</v>
      </c>
      <c r="AI4" t="e">
        <f>AND('Pay Bill'!J40,"AAAAAFBt1SI=")</f>
        <v>#VALUE!</v>
      </c>
      <c r="AJ4" t="e">
        <f>AND('Pay Bill'!#REF!,"AAAAAFBt1SM=")</f>
        <v>#REF!</v>
      </c>
      <c r="AK4" t="e">
        <f>AND('Pay Bill'!#REF!,"AAAAAFBt1SQ=")</f>
        <v>#REF!</v>
      </c>
      <c r="AL4" t="e">
        <f>AND('Pay Bill'!#REF!,"AAAAAFBt1SU=")</f>
        <v>#REF!</v>
      </c>
      <c r="AM4" t="e">
        <f>AND('Pay Bill'!K40,"AAAAAFBt1SY=")</f>
        <v>#VALUE!</v>
      </c>
      <c r="AN4" t="e">
        <f>AND('Pay Bill'!L40,"AAAAAFBt1Sc=")</f>
        <v>#VALUE!</v>
      </c>
      <c r="AO4" t="e">
        <f>AND('Pay Bill'!M40,"AAAAAFBt1Sg=")</f>
        <v>#VALUE!</v>
      </c>
      <c r="AP4" t="e">
        <f>AND('Pay Bill'!#REF!,"AAAAAFBt1Sk=")</f>
        <v>#REF!</v>
      </c>
      <c r="AQ4" t="e">
        <f>AND('Pay Bill'!#REF!,"AAAAAFBt1So=")</f>
        <v>#REF!</v>
      </c>
      <c r="AR4" t="e">
        <f>AND('Pay Bill'!#REF!,"AAAAAFBt1Ss=")</f>
        <v>#REF!</v>
      </c>
      <c r="AS4" t="e">
        <f>AND('Pay Bill'!#REF!,"AAAAAFBt1Sw=")</f>
        <v>#REF!</v>
      </c>
      <c r="AT4" t="e">
        <f>AND('Pay Bill'!N40,"AAAAAFBt1S0=")</f>
        <v>#VALUE!</v>
      </c>
      <c r="AU4">
        <f>IF('Pay Bill'!41:41,"AAAAAFBt1S4=",0)</f>
        <v>0</v>
      </c>
      <c r="AV4" t="e">
        <f>AND('Pay Bill'!A41,"AAAAAFBt1S8=")</f>
        <v>#VALUE!</v>
      </c>
      <c r="AW4" t="e">
        <f>AND('Pay Bill'!B41,"AAAAAFBt1TA=")</f>
        <v>#VALUE!</v>
      </c>
      <c r="AX4" t="e">
        <f>AND('Pay Bill'!C41,"AAAAAFBt1TE=")</f>
        <v>#VALUE!</v>
      </c>
      <c r="AY4" t="e">
        <f>AND('Pay Bill'!D41,"AAAAAFBt1TI=")</f>
        <v>#VALUE!</v>
      </c>
      <c r="AZ4" t="e">
        <f>AND('Pay Bill'!E41,"AAAAAFBt1TM=")</f>
        <v>#VALUE!</v>
      </c>
      <c r="BA4" t="e">
        <f>AND('Pay Bill'!F41,"AAAAAFBt1TQ=")</f>
        <v>#VALUE!</v>
      </c>
      <c r="BB4" t="e">
        <f>AND('Pay Bill'!G41,"AAAAAFBt1TU=")</f>
        <v>#VALUE!</v>
      </c>
      <c r="BC4" t="e">
        <f>AND('Pay Bill'!H41,"AAAAAFBt1TY=")</f>
        <v>#VALUE!</v>
      </c>
      <c r="BD4" t="e">
        <f>AND('Pay Bill'!I41,"AAAAAFBt1Tc=")</f>
        <v>#VALUE!</v>
      </c>
      <c r="BE4" t="e">
        <f>AND('Pay Bill'!J41,"AAAAAFBt1Tg=")</f>
        <v>#VALUE!</v>
      </c>
      <c r="BF4" t="e">
        <f>AND('Pay Bill'!#REF!,"AAAAAFBt1Tk=")</f>
        <v>#REF!</v>
      </c>
      <c r="BG4" t="e">
        <f>AND('Pay Bill'!#REF!,"AAAAAFBt1To=")</f>
        <v>#REF!</v>
      </c>
      <c r="BH4" t="e">
        <f>AND('Pay Bill'!#REF!,"AAAAAFBt1Ts=")</f>
        <v>#REF!</v>
      </c>
      <c r="BI4" t="e">
        <f>AND('Pay Bill'!K41,"AAAAAFBt1Tw=")</f>
        <v>#VALUE!</v>
      </c>
      <c r="BJ4" t="e">
        <f>AND('Pay Bill'!L41,"AAAAAFBt1T0=")</f>
        <v>#VALUE!</v>
      </c>
      <c r="BK4" t="e">
        <f>AND('Pay Bill'!M41,"AAAAAFBt1T4=")</f>
        <v>#VALUE!</v>
      </c>
      <c r="BL4" t="e">
        <f>AND('Pay Bill'!#REF!,"AAAAAFBt1T8=")</f>
        <v>#REF!</v>
      </c>
      <c r="BM4" t="e">
        <f>AND('Pay Bill'!#REF!,"AAAAAFBt1UA=")</f>
        <v>#REF!</v>
      </c>
      <c r="BN4" t="e">
        <f>AND('Pay Bill'!#REF!,"AAAAAFBt1UE=")</f>
        <v>#REF!</v>
      </c>
      <c r="BO4" t="e">
        <f>AND('Pay Bill'!#REF!,"AAAAAFBt1UI=")</f>
        <v>#REF!</v>
      </c>
      <c r="BP4" t="e">
        <f>AND('Pay Bill'!N41,"AAAAAFBt1UM=")</f>
        <v>#VALUE!</v>
      </c>
      <c r="BQ4">
        <f>IF('Pay Bill'!42:42,"AAAAAFBt1UQ=",0)</f>
        <v>0</v>
      </c>
      <c r="BR4">
        <f>IF('Pay Bill'!43:43,"AAAAAFBt1UU=",0)</f>
        <v>0</v>
      </c>
      <c r="BS4">
        <f>IF('Pay Bill'!44:44,"AAAAAFBt1UY=",0)</f>
        <v>0</v>
      </c>
      <c r="BT4">
        <f>IF('Pay Bill'!45:45,"AAAAAFBt1Uc=",0)</f>
        <v>0</v>
      </c>
      <c r="BU4">
        <f>IF('Pay Bill'!46:46,"AAAAAFBt1Ug=",0)</f>
        <v>0</v>
      </c>
      <c r="BV4">
        <f>IF('Pay Bill'!47:47,"AAAAAFBt1Uk=",0)</f>
        <v>0</v>
      </c>
      <c r="BW4">
        <f>IF('Pay Bill'!48:48,"AAAAAFBt1Uo=",0)</f>
        <v>0</v>
      </c>
      <c r="BX4">
        <f>IF('Pay Bill'!49:49,"AAAAAFBt1Us=",0)</f>
        <v>0</v>
      </c>
      <c r="BY4">
        <f>IF('Pay Bill'!50:50,"AAAAAFBt1Uw=",0)</f>
        <v>0</v>
      </c>
      <c r="BZ4">
        <f>IF('Pay Bill'!51:51,"AAAAAFBt1U0=",0)</f>
        <v>0</v>
      </c>
      <c r="CA4">
        <f>IF('Pay Bill'!52:52,"AAAAAFBt1U4=",0)</f>
        <v>0</v>
      </c>
      <c r="CB4">
        <f>IF('Pay Bill'!53:53,"AAAAAFBt1U8=",0)</f>
        <v>0</v>
      </c>
      <c r="CC4">
        <f>IF('Pay Bill'!54:54,"AAAAAFBt1VA=",0)</f>
        <v>0</v>
      </c>
      <c r="CD4">
        <f>IF('Pay Bill'!55:55,"AAAAAFBt1VE=",0)</f>
        <v>0</v>
      </c>
      <c r="CE4">
        <f>IF('Pay Bill'!56:56,"AAAAAFBt1VI=",0)</f>
        <v>0</v>
      </c>
      <c r="CF4">
        <f>IF('Pay Bill'!57:57,"AAAAAFBt1VM=",0)</f>
        <v>0</v>
      </c>
      <c r="CG4">
        <f>IF('Pay Bill'!58:58,"AAAAAFBt1VQ=",0)</f>
        <v>0</v>
      </c>
      <c r="CH4">
        <f>IF('Pay Bill'!59:59,"AAAAAFBt1VU=",0)</f>
        <v>0</v>
      </c>
      <c r="CI4">
        <f>IF('Pay Bill'!60:60,"AAAAAFBt1VY=",0)</f>
        <v>0</v>
      </c>
      <c r="CJ4">
        <f>IF('Pay Bill'!61:61,"AAAAAFBt1Vc=",0)</f>
        <v>0</v>
      </c>
      <c r="CK4">
        <f>IF('Pay Bill'!62:62,"AAAAAFBt1Vg=",0)</f>
        <v>0</v>
      </c>
      <c r="CL4">
        <f>IF('Pay Bill'!63:63,"AAAAAFBt1Vk=",0)</f>
        <v>0</v>
      </c>
      <c r="CM4">
        <f>IF('Pay Bill'!64:64,"AAAAAFBt1Vo=",0)</f>
        <v>0</v>
      </c>
      <c r="CN4">
        <f>IF('Pay Bill'!65:65,"AAAAAFBt1Vs=",0)</f>
        <v>0</v>
      </c>
      <c r="CO4">
        <f>IF('Pay Bill'!66:66,"AAAAAFBt1Vw=",0)</f>
        <v>0</v>
      </c>
      <c r="CP4">
        <f>IF('Pay Bill'!67:67,"AAAAAFBt1V0=",0)</f>
        <v>0</v>
      </c>
      <c r="CQ4">
        <f>IF('Pay Bill'!68:68,"AAAAAFBt1V4=",0)</f>
        <v>0</v>
      </c>
      <c r="CR4">
        <f>IF('Pay Bill'!69:69,"AAAAAFBt1V8=",0)</f>
        <v>0</v>
      </c>
      <c r="CS4">
        <f>IF('Pay Bill'!70:70,"AAAAAFBt1WA=",0)</f>
        <v>0</v>
      </c>
      <c r="CT4">
        <f>IF('Pay Bill'!71:71,"AAAAAFBt1WE=",0)</f>
        <v>0</v>
      </c>
      <c r="CU4">
        <f>IF('Pay Bill'!72:72,"AAAAAFBt1WI=",0)</f>
        <v>0</v>
      </c>
      <c r="CV4">
        <f>IF('Pay Bill'!73:73,"AAAAAFBt1WM=",0)</f>
        <v>0</v>
      </c>
      <c r="CW4">
        <f>IF('Pay Bill'!74:74,"AAAAAFBt1WQ=",0)</f>
        <v>0</v>
      </c>
      <c r="CX4">
        <f>IF('Pay Bill'!75:75,"AAAAAFBt1WU=",0)</f>
        <v>0</v>
      </c>
      <c r="CY4">
        <f>IF('Pay Bill'!76:76,"AAAAAFBt1WY=",0)</f>
        <v>0</v>
      </c>
      <c r="CZ4">
        <f>IF('Pay Bill'!77:77,"AAAAAFBt1Wc=",0)</f>
        <v>0</v>
      </c>
      <c r="DA4">
        <f>IF('Pay Bill'!78:78,"AAAAAFBt1Wg=",0)</f>
        <v>0</v>
      </c>
      <c r="DB4">
        <f>IF('Pay Bill'!79:79,"AAAAAFBt1Wk=",0)</f>
        <v>0</v>
      </c>
      <c r="DC4">
        <f>IF('Pay Bill'!80:80,"AAAAAFBt1Wo=",0)</f>
        <v>0</v>
      </c>
      <c r="DD4">
        <f>IF('Pay Bill'!81:81,"AAAAAFBt1Ws=",0)</f>
        <v>0</v>
      </c>
      <c r="DE4">
        <f>IF('Pay Bill'!82:82,"AAAAAFBt1Ww=",0)</f>
        <v>0</v>
      </c>
      <c r="DF4">
        <f>IF('Pay Bill'!83:83,"AAAAAFBt1W0=",0)</f>
        <v>0</v>
      </c>
      <c r="DG4">
        <f>IF('Pay Bill'!84:84,"AAAAAFBt1W4=",0)</f>
        <v>0</v>
      </c>
      <c r="DH4">
        <f>IF('Pay Bill'!85:85,"AAAAAFBt1W8=",0)</f>
        <v>0</v>
      </c>
      <c r="DI4">
        <f>IF('Pay Bill'!86:86,"AAAAAFBt1XA=",0)</f>
        <v>0</v>
      </c>
      <c r="DJ4">
        <f>IF('Pay Bill'!87:87,"AAAAAFBt1XE=",0)</f>
        <v>0</v>
      </c>
      <c r="DK4">
        <f>IF('Pay Bill'!88:88,"AAAAAFBt1XI=",0)</f>
        <v>0</v>
      </c>
      <c r="DL4">
        <f>IF('Pay Bill'!89:89,"AAAAAFBt1XM=",0)</f>
        <v>0</v>
      </c>
      <c r="DM4">
        <f>IF('Pay Bill'!90:90,"AAAAAFBt1XQ=",0)</f>
        <v>0</v>
      </c>
      <c r="DN4">
        <f>IF('Pay Bill'!91:91,"AAAAAFBt1XU=",0)</f>
        <v>0</v>
      </c>
      <c r="DO4">
        <f>IF('Pay Bill'!92:92,"AAAAAFBt1XY=",0)</f>
        <v>0</v>
      </c>
      <c r="DP4">
        <f>IF('Pay Bill'!93:93,"AAAAAFBt1Xc=",0)</f>
        <v>0</v>
      </c>
      <c r="DQ4">
        <f>IF('Pay Bill'!94:94,"AAAAAFBt1Xg=",0)</f>
        <v>0</v>
      </c>
      <c r="DR4">
        <f>IF('Pay Bill'!95:95,"AAAAAFBt1Xk=",0)</f>
        <v>0</v>
      </c>
      <c r="DS4">
        <f>IF('Pay Bill'!96:96,"AAAAAFBt1Xo=",0)</f>
        <v>0</v>
      </c>
      <c r="DT4">
        <f>IF('Pay Bill'!97:97,"AAAAAFBt1Xs=",0)</f>
        <v>0</v>
      </c>
      <c r="DU4">
        <f>IF('Pay Bill'!98:98,"AAAAAFBt1Xw=",0)</f>
        <v>0</v>
      </c>
      <c r="DV4">
        <f>IF('Pay Bill'!99:99,"AAAAAFBt1X0=",0)</f>
        <v>0</v>
      </c>
      <c r="DW4">
        <f>IF('Pay Bill'!100:100,"AAAAAFBt1X4=",0)</f>
        <v>0</v>
      </c>
      <c r="DX4">
        <f>IF('Pay Bill'!101:101,"AAAAAFBt1X8=",0)</f>
        <v>0</v>
      </c>
      <c r="DY4">
        <f>IF('Pay Bill'!102:102,"AAAAAFBt1YA=",0)</f>
        <v>0</v>
      </c>
      <c r="DZ4">
        <f>IF('Pay Bill'!103:103,"AAAAAFBt1YE=",0)</f>
        <v>0</v>
      </c>
      <c r="EA4">
        <f>IF('Pay Bill'!104:104,"AAAAAFBt1YI=",0)</f>
        <v>0</v>
      </c>
      <c r="EB4">
        <f>IF('Pay Bill'!105:105,"AAAAAFBt1YM=",0)</f>
        <v>0</v>
      </c>
      <c r="EC4">
        <f>IF('Pay Bill'!106:106,"AAAAAFBt1YQ=",0)</f>
        <v>0</v>
      </c>
      <c r="ED4" t="e">
        <f>IF('Pay Bill'!A:A,"AAAAAFBt1YU=",0)</f>
        <v>#VALUE!</v>
      </c>
      <c r="EE4">
        <f>IF('Pay Bill'!B:B,"AAAAAFBt1YY=",0)</f>
        <v>0</v>
      </c>
      <c r="EF4">
        <f>IF('Pay Bill'!C:C,"AAAAAFBt1Yc=",0)</f>
        <v>0</v>
      </c>
      <c r="EG4">
        <f>IF('Pay Bill'!D:D,"AAAAAFBt1Yg=",0)</f>
        <v>0</v>
      </c>
      <c r="EH4">
        <f>IF('Pay Bill'!E:E,"AAAAAFBt1Yk=",0)</f>
        <v>0</v>
      </c>
      <c r="EI4">
        <f>IF('Pay Bill'!F:F,"AAAAAFBt1Yo=",0)</f>
        <v>0</v>
      </c>
      <c r="EJ4">
        <f>IF('Pay Bill'!G:G,"AAAAAFBt1Ys=",0)</f>
        <v>0</v>
      </c>
      <c r="EK4">
        <f>IF('Pay Bill'!H:H,"AAAAAFBt1Yw=",0)</f>
        <v>0</v>
      </c>
      <c r="EL4">
        <f>IF('Pay Bill'!I:I,"AAAAAFBt1Y0=",0)</f>
        <v>0</v>
      </c>
      <c r="EM4">
        <f>IF('Pay Bill'!J:J,"AAAAAFBt1Y4=",0)</f>
        <v>0</v>
      </c>
      <c r="EN4" t="e">
        <f>IF('Pay Bill'!#REF!,"AAAAAFBt1Y8=",0)</f>
        <v>#REF!</v>
      </c>
      <c r="EO4" t="e">
        <f>IF('Pay Bill'!#REF!,"AAAAAFBt1ZA=",0)</f>
        <v>#REF!</v>
      </c>
      <c r="EP4" t="e">
        <f>IF('Pay Bill'!#REF!,"AAAAAFBt1ZE=",0)</f>
        <v>#REF!</v>
      </c>
      <c r="EQ4">
        <f>IF('Pay Bill'!K:K,"AAAAAFBt1ZI=",0)</f>
        <v>0</v>
      </c>
      <c r="ER4">
        <f>IF('Pay Bill'!L:L,"AAAAAFBt1ZM=",0)</f>
        <v>0</v>
      </c>
      <c r="ES4">
        <f>IF('Pay Bill'!M:M,"AAAAAFBt1ZQ=",0)</f>
        <v>0</v>
      </c>
      <c r="ET4" t="e">
        <f>IF('Pay Bill'!#REF!,"AAAAAFBt1ZU=",0)</f>
        <v>#REF!</v>
      </c>
      <c r="EU4" t="e">
        <f>IF('Pay Bill'!#REF!,"AAAAAFBt1ZY=",0)</f>
        <v>#REF!</v>
      </c>
      <c r="EV4" t="e">
        <f>IF('Pay Bill'!#REF!,"AAAAAFBt1Zc=",0)</f>
        <v>#REF!</v>
      </c>
      <c r="EW4" t="e">
        <f>IF('Pay Bill'!#REF!,"AAAAAFBt1Zg=",0)</f>
        <v>#REF!</v>
      </c>
      <c r="EX4">
        <f>IF('Pay Bill'!N:N,"AAAAAFBt1Zk=",0)</f>
        <v>0</v>
      </c>
      <c r="EY4" t="s">
        <v>23</v>
      </c>
    </row>
    <row r="5" spans="1:256" x14ac:dyDescent="0.25">
      <c r="A5" t="e">
        <f>IF(#REF!,"AAAAAC34ewA=",0)</f>
        <v>#REF!</v>
      </c>
      <c r="B5" t="e">
        <f>AND(#REF!,"AAAAAC34ewE=")</f>
        <v>#REF!</v>
      </c>
      <c r="C5" t="e">
        <f>AND(#REF!,"AAAAAC34ewI=")</f>
        <v>#REF!</v>
      </c>
      <c r="D5" t="e">
        <f>AND(#REF!,"AAAAAC34ewM=")</f>
        <v>#REF!</v>
      </c>
      <c r="E5" t="e">
        <f>AND(#REF!,"AAAAAC34ewQ=")</f>
        <v>#REF!</v>
      </c>
      <c r="F5" t="e">
        <f>AND(#REF!,"AAAAAC34ewU=")</f>
        <v>#REF!</v>
      </c>
      <c r="G5" t="e">
        <f>AND(#REF!,"AAAAAC34ewY=")</f>
        <v>#REF!</v>
      </c>
      <c r="H5" t="e">
        <f>AND(#REF!,"AAAAAC34ewc=")</f>
        <v>#REF!</v>
      </c>
      <c r="I5" t="e">
        <f>AND(#REF!,"AAAAAC34ewg=")</f>
        <v>#REF!</v>
      </c>
      <c r="J5" t="e">
        <f>AND(#REF!,"AAAAAC34ewk=")</f>
        <v>#REF!</v>
      </c>
      <c r="K5" t="e">
        <f>AND(#REF!,"AAAAAC34ewo=")</f>
        <v>#REF!</v>
      </c>
      <c r="L5" t="e">
        <f>IF(#REF!,"AAAAAC34ews=",0)</f>
        <v>#REF!</v>
      </c>
      <c r="M5" t="e">
        <f>AND(#REF!,"AAAAAC34eww=")</f>
        <v>#REF!</v>
      </c>
      <c r="N5" t="e">
        <f>AND(#REF!,"AAAAAC34ew0=")</f>
        <v>#REF!</v>
      </c>
      <c r="O5" t="e">
        <f>AND(#REF!,"AAAAAC34ew4=")</f>
        <v>#REF!</v>
      </c>
      <c r="P5" t="e">
        <f>AND(#REF!,"AAAAAC34ew8=")</f>
        <v>#REF!</v>
      </c>
      <c r="Q5" t="e">
        <f>AND(#REF!,"AAAAAC34exA=")</f>
        <v>#REF!</v>
      </c>
      <c r="R5" t="e">
        <f>AND(#REF!,"AAAAAC34exE=")</f>
        <v>#REF!</v>
      </c>
      <c r="S5" t="e">
        <f>AND(#REF!,"AAAAAC34exI=")</f>
        <v>#REF!</v>
      </c>
      <c r="T5" t="e">
        <f>AND(#REF!,"AAAAAC34exM=")</f>
        <v>#REF!</v>
      </c>
      <c r="U5" t="e">
        <f>AND(#REF!,"AAAAAC34exQ=")</f>
        <v>#REF!</v>
      </c>
      <c r="V5" t="e">
        <f>AND(#REF!,"AAAAAC34exU=")</f>
        <v>#REF!</v>
      </c>
      <c r="W5" t="e">
        <f>IF(#REF!,"AAAAAC34exY=",0)</f>
        <v>#REF!</v>
      </c>
      <c r="X5" t="e">
        <f>AND(#REF!,"AAAAAC34exc=")</f>
        <v>#REF!</v>
      </c>
      <c r="Y5" t="e">
        <f>AND(#REF!,"AAAAAC34exg=")</f>
        <v>#REF!</v>
      </c>
      <c r="Z5" t="e">
        <f>AND(#REF!,"AAAAAC34exk=")</f>
        <v>#REF!</v>
      </c>
      <c r="AA5" t="e">
        <f>AND(#REF!,"AAAAAC34exo=")</f>
        <v>#REF!</v>
      </c>
      <c r="AB5" t="e">
        <f>AND(#REF!,"AAAAAC34exs=")</f>
        <v>#REF!</v>
      </c>
      <c r="AC5" t="e">
        <f>AND(#REF!,"AAAAAC34exw=")</f>
        <v>#REF!</v>
      </c>
      <c r="AD5" t="e">
        <f>AND(#REF!,"AAAAAC34ex0=")</f>
        <v>#REF!</v>
      </c>
      <c r="AE5" t="e">
        <f>AND(#REF!,"AAAAAC34ex4=")</f>
        <v>#REF!</v>
      </c>
      <c r="AF5" t="e">
        <f>AND(#REF!,"AAAAAC34ex8=")</f>
        <v>#REF!</v>
      </c>
      <c r="AG5" t="e">
        <f>AND(#REF!,"AAAAAC34eyA=")</f>
        <v>#REF!</v>
      </c>
      <c r="AH5" t="e">
        <f>IF(#REF!,"AAAAAC34eyE=",0)</f>
        <v>#REF!</v>
      </c>
      <c r="AI5" t="e">
        <f>AND(#REF!,"AAAAAC34eyI=")</f>
        <v>#REF!</v>
      </c>
      <c r="AJ5" t="e">
        <f>AND(#REF!,"AAAAAC34eyM=")</f>
        <v>#REF!</v>
      </c>
      <c r="AK5" t="e">
        <f>AND(#REF!,"AAAAAC34eyQ=")</f>
        <v>#REF!</v>
      </c>
      <c r="AL5" t="e">
        <f>AND(#REF!,"AAAAAC34eyU=")</f>
        <v>#REF!</v>
      </c>
      <c r="AM5" t="e">
        <f>AND(#REF!,"AAAAAC34eyY=")</f>
        <v>#REF!</v>
      </c>
      <c r="AN5" t="e">
        <f>AND(#REF!,"AAAAAC34eyc=")</f>
        <v>#REF!</v>
      </c>
      <c r="AO5" t="e">
        <f>AND(#REF!,"AAAAAC34eyg=")</f>
        <v>#REF!</v>
      </c>
      <c r="AP5" t="e">
        <f>AND(#REF!,"AAAAAC34eyk=")</f>
        <v>#REF!</v>
      </c>
      <c r="AQ5" t="e">
        <f>AND(#REF!,"AAAAAC34eyo=")</f>
        <v>#REF!</v>
      </c>
      <c r="AR5" t="e">
        <f>AND(#REF!,"AAAAAC34eys=")</f>
        <v>#REF!</v>
      </c>
      <c r="AS5" t="e">
        <f>IF(#REF!,"AAAAAC34eyw=",0)</f>
        <v>#REF!</v>
      </c>
      <c r="AT5" t="e">
        <f>AND(#REF!,"AAAAAC34ey0=")</f>
        <v>#REF!</v>
      </c>
      <c r="AU5" t="e">
        <f>AND(#REF!,"AAAAAC34ey4=")</f>
        <v>#REF!</v>
      </c>
      <c r="AV5" t="e">
        <f>AND(#REF!,"AAAAAC34ey8=")</f>
        <v>#REF!</v>
      </c>
      <c r="AW5" t="e">
        <f>AND(#REF!,"AAAAAC34ezA=")</f>
        <v>#REF!</v>
      </c>
      <c r="AX5" t="e">
        <f>AND(#REF!,"AAAAAC34ezE=")</f>
        <v>#REF!</v>
      </c>
      <c r="AY5" t="e">
        <f>AND(#REF!,"AAAAAC34ezI=")</f>
        <v>#REF!</v>
      </c>
      <c r="AZ5" t="e">
        <f>AND(#REF!,"AAAAAC34ezM=")</f>
        <v>#REF!</v>
      </c>
      <c r="BA5" t="e">
        <f>AND(#REF!,"AAAAAC34ezQ=")</f>
        <v>#REF!</v>
      </c>
      <c r="BB5" t="e">
        <f>AND(#REF!,"AAAAAC34ezU=")</f>
        <v>#REF!</v>
      </c>
      <c r="BC5" t="e">
        <f>AND(#REF!,"AAAAAC34ezY=")</f>
        <v>#REF!</v>
      </c>
      <c r="BD5" t="e">
        <f>IF(#REF!,"AAAAAC34ezc=",0)</f>
        <v>#REF!</v>
      </c>
      <c r="BE5" t="e">
        <f>AND(#REF!,"AAAAAC34ezg=")</f>
        <v>#REF!</v>
      </c>
      <c r="BF5" t="e">
        <f>AND(#REF!,"AAAAAC34ezk=")</f>
        <v>#REF!</v>
      </c>
      <c r="BG5" t="e">
        <f>AND(#REF!,"AAAAAC34ezo=")</f>
        <v>#REF!</v>
      </c>
      <c r="BH5" t="e">
        <f>AND(#REF!,"AAAAAC34ezs=")</f>
        <v>#REF!</v>
      </c>
      <c r="BI5" t="e">
        <f>AND(#REF!,"AAAAAC34ezw=")</f>
        <v>#REF!</v>
      </c>
      <c r="BJ5" t="e">
        <f>AND(#REF!,"AAAAAC34ez0=")</f>
        <v>#REF!</v>
      </c>
      <c r="BK5" t="e">
        <f>AND(#REF!,"AAAAAC34ez4=")</f>
        <v>#REF!</v>
      </c>
      <c r="BL5" t="e">
        <f>AND(#REF!,"AAAAAC34ez8=")</f>
        <v>#REF!</v>
      </c>
      <c r="BM5" t="e">
        <f>AND(#REF!,"AAAAAC34e0A=")</f>
        <v>#REF!</v>
      </c>
      <c r="BN5" t="e">
        <f>AND(#REF!,"AAAAAC34e0E=")</f>
        <v>#REF!</v>
      </c>
      <c r="BO5" t="e">
        <f>IF(#REF!,"AAAAAC34e0I=",0)</f>
        <v>#REF!</v>
      </c>
      <c r="BP5" t="e">
        <f>AND(#REF!,"AAAAAC34e0M=")</f>
        <v>#REF!</v>
      </c>
      <c r="BQ5" t="e">
        <f>AND(#REF!,"AAAAAC34e0Q=")</f>
        <v>#REF!</v>
      </c>
      <c r="BR5" t="e">
        <f>AND(#REF!,"AAAAAC34e0U=")</f>
        <v>#REF!</v>
      </c>
      <c r="BS5" t="e">
        <f>AND(#REF!,"AAAAAC34e0Y=")</f>
        <v>#REF!</v>
      </c>
      <c r="BT5" t="e">
        <f>AND(#REF!,"AAAAAC34e0c=")</f>
        <v>#REF!</v>
      </c>
      <c r="BU5" t="e">
        <f>AND(#REF!,"AAAAAC34e0g=")</f>
        <v>#REF!</v>
      </c>
      <c r="BV5" t="e">
        <f>AND(#REF!,"AAAAAC34e0k=")</f>
        <v>#REF!</v>
      </c>
      <c r="BW5" t="e">
        <f>AND(#REF!,"AAAAAC34e0o=")</f>
        <v>#REF!</v>
      </c>
      <c r="BX5" t="e">
        <f>AND(#REF!,"AAAAAC34e0s=")</f>
        <v>#REF!</v>
      </c>
      <c r="BY5" t="e">
        <f>AND(#REF!,"AAAAAC34e0w=")</f>
        <v>#REF!</v>
      </c>
      <c r="BZ5" t="e">
        <f>IF(#REF!,"AAAAAC34e00=",0)</f>
        <v>#REF!</v>
      </c>
      <c r="CA5" t="e">
        <f>AND(#REF!,"AAAAAC34e04=")</f>
        <v>#REF!</v>
      </c>
      <c r="CB5" t="e">
        <f>AND(#REF!,"AAAAAC34e08=")</f>
        <v>#REF!</v>
      </c>
      <c r="CC5" t="e">
        <f>AND(#REF!,"AAAAAC34e1A=")</f>
        <v>#REF!</v>
      </c>
      <c r="CD5" t="e">
        <f>AND(#REF!,"AAAAAC34e1E=")</f>
        <v>#REF!</v>
      </c>
      <c r="CE5" t="e">
        <f>AND(#REF!,"AAAAAC34e1I=")</f>
        <v>#REF!</v>
      </c>
      <c r="CF5" t="e">
        <f>AND(#REF!,"AAAAAC34e1M=")</f>
        <v>#REF!</v>
      </c>
      <c r="CG5" t="e">
        <f>AND(#REF!,"AAAAAC34e1Q=")</f>
        <v>#REF!</v>
      </c>
      <c r="CH5" t="e">
        <f>AND(#REF!,"AAAAAC34e1U=")</f>
        <v>#REF!</v>
      </c>
      <c r="CI5" t="e">
        <f>AND(#REF!,"AAAAAC34e1Y=")</f>
        <v>#REF!</v>
      </c>
      <c r="CJ5" t="e">
        <f>AND(#REF!,"AAAAAC34e1c=")</f>
        <v>#REF!</v>
      </c>
      <c r="CK5" t="e">
        <f>IF(#REF!,"AAAAAC34e1g=",0)</f>
        <v>#REF!</v>
      </c>
      <c r="CL5" t="e">
        <f>AND(#REF!,"AAAAAC34e1k=")</f>
        <v>#REF!</v>
      </c>
      <c r="CM5" t="e">
        <f>AND(#REF!,"AAAAAC34e1o=")</f>
        <v>#REF!</v>
      </c>
      <c r="CN5" t="e">
        <f>AND(#REF!,"AAAAAC34e1s=")</f>
        <v>#REF!</v>
      </c>
      <c r="CO5" t="e">
        <f>AND(#REF!,"AAAAAC34e1w=")</f>
        <v>#REF!</v>
      </c>
      <c r="CP5" t="e">
        <f>AND(#REF!,"AAAAAC34e10=")</f>
        <v>#REF!</v>
      </c>
      <c r="CQ5" t="e">
        <f>AND(#REF!,"AAAAAC34e14=")</f>
        <v>#REF!</v>
      </c>
      <c r="CR5" t="e">
        <f>AND(#REF!,"AAAAAC34e18=")</f>
        <v>#REF!</v>
      </c>
      <c r="CS5" t="e">
        <f>AND(#REF!,"AAAAAC34e2A=")</f>
        <v>#REF!</v>
      </c>
      <c r="CT5" t="e">
        <f>AND(#REF!,"AAAAAC34e2E=")</f>
        <v>#REF!</v>
      </c>
      <c r="CU5" t="e">
        <f>AND(#REF!,"AAAAAC34e2I=")</f>
        <v>#REF!</v>
      </c>
      <c r="CV5" t="e">
        <f>IF(#REF!,"AAAAAC34e2M=",0)</f>
        <v>#REF!</v>
      </c>
      <c r="CW5" t="e">
        <f>AND(#REF!,"AAAAAC34e2Q=")</f>
        <v>#REF!</v>
      </c>
      <c r="CX5" t="e">
        <f>AND(#REF!,"AAAAAC34e2U=")</f>
        <v>#REF!</v>
      </c>
      <c r="CY5" t="e">
        <f>AND(#REF!,"AAAAAC34e2Y=")</f>
        <v>#REF!</v>
      </c>
      <c r="CZ5" t="e">
        <f>AND(#REF!,"AAAAAC34e2c=")</f>
        <v>#REF!</v>
      </c>
      <c r="DA5" t="e">
        <f>AND(#REF!,"AAAAAC34e2g=")</f>
        <v>#REF!</v>
      </c>
      <c r="DB5" t="e">
        <f>AND(#REF!,"AAAAAC34e2k=")</f>
        <v>#REF!</v>
      </c>
      <c r="DC5" t="e">
        <f>AND(#REF!,"AAAAAC34e2o=")</f>
        <v>#REF!</v>
      </c>
      <c r="DD5" t="e">
        <f>AND(#REF!,"AAAAAC34e2s=")</f>
        <v>#REF!</v>
      </c>
      <c r="DE5" t="e">
        <f>AND(#REF!,"AAAAAC34e2w=")</f>
        <v>#REF!</v>
      </c>
      <c r="DF5" t="e">
        <f>AND(#REF!,"AAAAAC34e20=")</f>
        <v>#REF!</v>
      </c>
      <c r="DG5" t="e">
        <f>IF(#REF!,"AAAAAC34e24=",0)</f>
        <v>#REF!</v>
      </c>
      <c r="DH5" t="e">
        <f>AND(#REF!,"AAAAAC34e28=")</f>
        <v>#REF!</v>
      </c>
      <c r="DI5" t="e">
        <f>AND(#REF!,"AAAAAC34e3A=")</f>
        <v>#REF!</v>
      </c>
      <c r="DJ5" t="e">
        <f>AND(#REF!,"AAAAAC34e3E=")</f>
        <v>#REF!</v>
      </c>
      <c r="DK5" t="e">
        <f>AND(#REF!,"AAAAAC34e3I=")</f>
        <v>#REF!</v>
      </c>
      <c r="DL5" t="e">
        <f>AND(#REF!,"AAAAAC34e3M=")</f>
        <v>#REF!</v>
      </c>
      <c r="DM5" t="e">
        <f>AND(#REF!,"AAAAAC34e3Q=")</f>
        <v>#REF!</v>
      </c>
      <c r="DN5" t="e">
        <f>AND(#REF!,"AAAAAC34e3U=")</f>
        <v>#REF!</v>
      </c>
      <c r="DO5" t="e">
        <f>AND(#REF!,"AAAAAC34e3Y=")</f>
        <v>#REF!</v>
      </c>
      <c r="DP5" t="e">
        <f>AND(#REF!,"AAAAAC34e3c=")</f>
        <v>#REF!</v>
      </c>
      <c r="DQ5" t="e">
        <f>AND(#REF!,"AAAAAC34e3g=")</f>
        <v>#REF!</v>
      </c>
      <c r="DR5" t="e">
        <f>IF(#REF!,"AAAAAC34e3k=",0)</f>
        <v>#REF!</v>
      </c>
      <c r="DS5" t="e">
        <f>AND(#REF!,"AAAAAC34e3o=")</f>
        <v>#REF!</v>
      </c>
      <c r="DT5" t="e">
        <f>AND(#REF!,"AAAAAC34e3s=")</f>
        <v>#REF!</v>
      </c>
      <c r="DU5" t="e">
        <f>AND(#REF!,"AAAAAC34e3w=")</f>
        <v>#REF!</v>
      </c>
      <c r="DV5" t="e">
        <f>AND(#REF!,"AAAAAC34e30=")</f>
        <v>#REF!</v>
      </c>
      <c r="DW5" t="e">
        <f>AND(#REF!,"AAAAAC34e34=")</f>
        <v>#REF!</v>
      </c>
      <c r="DX5" t="e">
        <f>AND(#REF!,"AAAAAC34e38=")</f>
        <v>#REF!</v>
      </c>
      <c r="DY5" t="e">
        <f>AND(#REF!,"AAAAAC34e4A=")</f>
        <v>#REF!</v>
      </c>
      <c r="DZ5" t="e">
        <f>AND(#REF!,"AAAAAC34e4E=")</f>
        <v>#REF!</v>
      </c>
      <c r="EA5" t="e">
        <f>AND(#REF!,"AAAAAC34e4I=")</f>
        <v>#REF!</v>
      </c>
      <c r="EB5" t="e">
        <f>AND(#REF!,"AAAAAC34e4M=")</f>
        <v>#REF!</v>
      </c>
      <c r="EC5" t="e">
        <f>IF(#REF!,"AAAAAC34e4Q=",0)</f>
        <v>#REF!</v>
      </c>
      <c r="ED5" t="e">
        <f>AND(#REF!,"AAAAAC34e4U=")</f>
        <v>#REF!</v>
      </c>
      <c r="EE5" t="e">
        <f>AND(#REF!,"AAAAAC34e4Y=")</f>
        <v>#REF!</v>
      </c>
      <c r="EF5" t="e">
        <f>AND(#REF!,"AAAAAC34e4c=")</f>
        <v>#REF!</v>
      </c>
      <c r="EG5" t="e">
        <f>AND(#REF!,"AAAAAC34e4g=")</f>
        <v>#REF!</v>
      </c>
      <c r="EH5" t="e">
        <f>AND(#REF!,"AAAAAC34e4k=")</f>
        <v>#REF!</v>
      </c>
      <c r="EI5" t="e">
        <f>AND(#REF!,"AAAAAC34e4o=")</f>
        <v>#REF!</v>
      </c>
      <c r="EJ5" t="e">
        <f>AND(#REF!,"AAAAAC34e4s=")</f>
        <v>#REF!</v>
      </c>
      <c r="EK5" t="e">
        <f>AND(#REF!,"AAAAAC34e4w=")</f>
        <v>#REF!</v>
      </c>
      <c r="EL5" t="e">
        <f>AND(#REF!,"AAAAAC34e40=")</f>
        <v>#REF!</v>
      </c>
      <c r="EM5" t="e">
        <f>AND(#REF!,"AAAAAC34e44=")</f>
        <v>#REF!</v>
      </c>
      <c r="EN5" t="e">
        <f>IF(#REF!,"AAAAAC34e48=",0)</f>
        <v>#REF!</v>
      </c>
      <c r="EO5" t="e">
        <f>AND(#REF!,"AAAAAC34e5A=")</f>
        <v>#REF!</v>
      </c>
      <c r="EP5" t="e">
        <f>AND(#REF!,"AAAAAC34e5E=")</f>
        <v>#REF!</v>
      </c>
      <c r="EQ5" t="e">
        <f>AND(#REF!,"AAAAAC34e5I=")</f>
        <v>#REF!</v>
      </c>
      <c r="ER5" t="e">
        <f>AND(#REF!,"AAAAAC34e5M=")</f>
        <v>#REF!</v>
      </c>
      <c r="ES5" t="e">
        <f>AND(#REF!,"AAAAAC34e5Q=")</f>
        <v>#REF!</v>
      </c>
      <c r="ET5" t="e">
        <f>AND(#REF!,"AAAAAC34e5U=")</f>
        <v>#REF!</v>
      </c>
      <c r="EU5" t="e">
        <f>AND(#REF!,"AAAAAC34e5Y=")</f>
        <v>#REF!</v>
      </c>
      <c r="EV5" t="e">
        <f>AND(#REF!,"AAAAAC34e5c=")</f>
        <v>#REF!</v>
      </c>
      <c r="EW5" t="e">
        <f>AND(#REF!,"AAAAAC34e5g=")</f>
        <v>#REF!</v>
      </c>
      <c r="EX5" t="e">
        <f>AND(#REF!,"AAAAAC34e5k=")</f>
        <v>#REF!</v>
      </c>
      <c r="EY5" t="e">
        <f>IF(#REF!,"AAAAAC34e5o=",0)</f>
        <v>#REF!</v>
      </c>
      <c r="EZ5" t="e">
        <f>AND(#REF!,"AAAAAC34e5s=")</f>
        <v>#REF!</v>
      </c>
      <c r="FA5" t="e">
        <f>AND(#REF!,"AAAAAC34e5w=")</f>
        <v>#REF!</v>
      </c>
      <c r="FB5" t="e">
        <f>AND(#REF!,"AAAAAC34e50=")</f>
        <v>#REF!</v>
      </c>
      <c r="FC5" t="e">
        <f>AND(#REF!,"AAAAAC34e54=")</f>
        <v>#REF!</v>
      </c>
      <c r="FD5" t="e">
        <f>AND(#REF!,"AAAAAC34e58=")</f>
        <v>#REF!</v>
      </c>
      <c r="FE5" t="e">
        <f>AND(#REF!,"AAAAAC34e6A=")</f>
        <v>#REF!</v>
      </c>
      <c r="FF5" t="e">
        <f>AND(#REF!,"AAAAAC34e6E=")</f>
        <v>#REF!</v>
      </c>
      <c r="FG5" t="e">
        <f>AND(#REF!,"AAAAAC34e6I=")</f>
        <v>#REF!</v>
      </c>
      <c r="FH5" t="e">
        <f>AND(#REF!,"AAAAAC34e6M=")</f>
        <v>#REF!</v>
      </c>
      <c r="FI5" t="e">
        <f>AND(#REF!,"AAAAAC34e6Q=")</f>
        <v>#REF!</v>
      </c>
      <c r="FJ5" t="e">
        <f>IF(#REF!,"AAAAAC34e6U=",0)</f>
        <v>#REF!</v>
      </c>
      <c r="FK5" t="e">
        <f>AND(#REF!,"AAAAAC34e6Y=")</f>
        <v>#REF!</v>
      </c>
      <c r="FL5" t="e">
        <f>AND(#REF!,"AAAAAC34e6c=")</f>
        <v>#REF!</v>
      </c>
      <c r="FM5" t="e">
        <f>AND(#REF!,"AAAAAC34e6g=")</f>
        <v>#REF!</v>
      </c>
      <c r="FN5" t="e">
        <f>AND(#REF!,"AAAAAC34e6k=")</f>
        <v>#REF!</v>
      </c>
      <c r="FO5" t="e">
        <f>AND(#REF!,"AAAAAC34e6o=")</f>
        <v>#REF!</v>
      </c>
      <c r="FP5" t="e">
        <f>AND(#REF!,"AAAAAC34e6s=")</f>
        <v>#REF!</v>
      </c>
      <c r="FQ5" t="e">
        <f>AND(#REF!,"AAAAAC34e6w=")</f>
        <v>#REF!</v>
      </c>
      <c r="FR5" t="e">
        <f>AND(#REF!,"AAAAAC34e60=")</f>
        <v>#REF!</v>
      </c>
      <c r="FS5" t="e">
        <f>AND(#REF!,"AAAAAC34e64=")</f>
        <v>#REF!</v>
      </c>
      <c r="FT5" t="e">
        <f>AND(#REF!,"AAAAAC34e68=")</f>
        <v>#REF!</v>
      </c>
      <c r="FU5" t="e">
        <f>IF(#REF!,"AAAAAC34e7A=",0)</f>
        <v>#REF!</v>
      </c>
      <c r="FV5" t="e">
        <f>AND(#REF!,"AAAAAC34e7E=")</f>
        <v>#REF!</v>
      </c>
      <c r="FW5" t="e">
        <f>AND(#REF!,"AAAAAC34e7I=")</f>
        <v>#REF!</v>
      </c>
      <c r="FX5" t="e">
        <f>AND(#REF!,"AAAAAC34e7M=")</f>
        <v>#REF!</v>
      </c>
      <c r="FY5" t="e">
        <f>AND(#REF!,"AAAAAC34e7Q=")</f>
        <v>#REF!</v>
      </c>
      <c r="FZ5" t="e">
        <f>AND(#REF!,"AAAAAC34e7U=")</f>
        <v>#REF!</v>
      </c>
      <c r="GA5" t="e">
        <f>AND(#REF!,"AAAAAC34e7Y=")</f>
        <v>#REF!</v>
      </c>
      <c r="GB5" t="e">
        <f>AND(#REF!,"AAAAAC34e7c=")</f>
        <v>#REF!</v>
      </c>
      <c r="GC5" t="e">
        <f>AND(#REF!,"AAAAAC34e7g=")</f>
        <v>#REF!</v>
      </c>
      <c r="GD5" t="e">
        <f>AND(#REF!,"AAAAAC34e7k=")</f>
        <v>#REF!</v>
      </c>
      <c r="GE5" t="e">
        <f>AND(#REF!,"AAAAAC34e7o=")</f>
        <v>#REF!</v>
      </c>
      <c r="GF5" t="e">
        <f>IF(#REF!,"AAAAAC34e7s=",0)</f>
        <v>#REF!</v>
      </c>
      <c r="GG5" t="e">
        <f>AND(#REF!,"AAAAAC34e7w=")</f>
        <v>#REF!</v>
      </c>
      <c r="GH5" t="e">
        <f>AND(#REF!,"AAAAAC34e70=")</f>
        <v>#REF!</v>
      </c>
      <c r="GI5" t="e">
        <f>AND(#REF!,"AAAAAC34e74=")</f>
        <v>#REF!</v>
      </c>
      <c r="GJ5" t="e">
        <f>AND(#REF!,"AAAAAC34e78=")</f>
        <v>#REF!</v>
      </c>
      <c r="GK5" t="e">
        <f>AND(#REF!,"AAAAAC34e8A=")</f>
        <v>#REF!</v>
      </c>
      <c r="GL5" t="e">
        <f>AND(#REF!,"AAAAAC34e8E=")</f>
        <v>#REF!</v>
      </c>
      <c r="GM5" t="e">
        <f>AND(#REF!,"AAAAAC34e8I=")</f>
        <v>#REF!</v>
      </c>
      <c r="GN5" t="e">
        <f>AND(#REF!,"AAAAAC34e8M=")</f>
        <v>#REF!</v>
      </c>
      <c r="GO5" t="e">
        <f>AND(#REF!,"AAAAAC34e8Q=")</f>
        <v>#REF!</v>
      </c>
      <c r="GP5" t="e">
        <f>AND(#REF!,"AAAAAC34e8U=")</f>
        <v>#REF!</v>
      </c>
      <c r="GQ5" t="e">
        <f>IF(#REF!,"AAAAAC34e8Y=",0)</f>
        <v>#REF!</v>
      </c>
      <c r="GR5" t="e">
        <f>AND(#REF!,"AAAAAC34e8c=")</f>
        <v>#REF!</v>
      </c>
      <c r="GS5" t="e">
        <f>AND(#REF!,"AAAAAC34e8g=")</f>
        <v>#REF!</v>
      </c>
      <c r="GT5" t="e">
        <f>AND(#REF!,"AAAAAC34e8k=")</f>
        <v>#REF!</v>
      </c>
      <c r="GU5" t="e">
        <f>AND(#REF!,"AAAAAC34e8o=")</f>
        <v>#REF!</v>
      </c>
      <c r="GV5" t="e">
        <f>AND(#REF!,"AAAAAC34e8s=")</f>
        <v>#REF!</v>
      </c>
      <c r="GW5" t="e">
        <f>AND(#REF!,"AAAAAC34e8w=")</f>
        <v>#REF!</v>
      </c>
      <c r="GX5" t="e">
        <f>AND(#REF!,"AAAAAC34e80=")</f>
        <v>#REF!</v>
      </c>
      <c r="GY5" t="e">
        <f>AND(#REF!,"AAAAAC34e84=")</f>
        <v>#REF!</v>
      </c>
      <c r="GZ5" t="e">
        <f>AND(#REF!,"AAAAAC34e88=")</f>
        <v>#REF!</v>
      </c>
      <c r="HA5" t="e">
        <f>AND(#REF!,"AAAAAC34e9A=")</f>
        <v>#REF!</v>
      </c>
      <c r="HB5" t="e">
        <f>IF(#REF!,"AAAAAC34e9E=",0)</f>
        <v>#REF!</v>
      </c>
      <c r="HC5" t="e">
        <f>AND(#REF!,"AAAAAC34e9I=")</f>
        <v>#REF!</v>
      </c>
      <c r="HD5" t="e">
        <f>AND(#REF!,"AAAAAC34e9M=")</f>
        <v>#REF!</v>
      </c>
      <c r="HE5" t="e">
        <f>AND(#REF!,"AAAAAC34e9Q=")</f>
        <v>#REF!</v>
      </c>
      <c r="HF5" t="e">
        <f>AND(#REF!,"AAAAAC34e9U=")</f>
        <v>#REF!</v>
      </c>
      <c r="HG5" t="e">
        <f>AND(#REF!,"AAAAAC34e9Y=")</f>
        <v>#REF!</v>
      </c>
      <c r="HH5" t="e">
        <f>AND(#REF!,"AAAAAC34e9c=")</f>
        <v>#REF!</v>
      </c>
      <c r="HI5" t="e">
        <f>AND(#REF!,"AAAAAC34e9g=")</f>
        <v>#REF!</v>
      </c>
      <c r="HJ5" t="e">
        <f>AND(#REF!,"AAAAAC34e9k=")</f>
        <v>#REF!</v>
      </c>
      <c r="HK5" t="e">
        <f>AND(#REF!,"AAAAAC34e9o=")</f>
        <v>#REF!</v>
      </c>
      <c r="HL5" t="e">
        <f>AND(#REF!,"AAAAAC34e9s=")</f>
        <v>#REF!</v>
      </c>
      <c r="HM5" t="e">
        <f>IF(#REF!,"AAAAAC34e9w=",0)</f>
        <v>#REF!</v>
      </c>
      <c r="HN5" t="e">
        <f>AND(#REF!,"AAAAAC34e90=")</f>
        <v>#REF!</v>
      </c>
      <c r="HO5" t="e">
        <f>AND(#REF!,"AAAAAC34e94=")</f>
        <v>#REF!</v>
      </c>
      <c r="HP5" t="e">
        <f>AND(#REF!,"AAAAAC34e98=")</f>
        <v>#REF!</v>
      </c>
      <c r="HQ5" t="e">
        <f>AND(#REF!,"AAAAAC34e+A=")</f>
        <v>#REF!</v>
      </c>
      <c r="HR5" t="e">
        <f>AND(#REF!,"AAAAAC34e+E=")</f>
        <v>#REF!</v>
      </c>
      <c r="HS5" t="e">
        <f>AND(#REF!,"AAAAAC34e+I=")</f>
        <v>#REF!</v>
      </c>
      <c r="HT5" t="e">
        <f>AND(#REF!,"AAAAAC34e+M=")</f>
        <v>#REF!</v>
      </c>
      <c r="HU5" t="e">
        <f>AND(#REF!,"AAAAAC34e+Q=")</f>
        <v>#REF!</v>
      </c>
      <c r="HV5" t="e">
        <f>AND(#REF!,"AAAAAC34e+U=")</f>
        <v>#REF!</v>
      </c>
      <c r="HW5" t="e">
        <f>AND(#REF!,"AAAAAC34e+Y=")</f>
        <v>#REF!</v>
      </c>
      <c r="HX5" t="e">
        <f>IF(#REF!,"AAAAAC34e+c=",0)</f>
        <v>#REF!</v>
      </c>
      <c r="HY5" t="e">
        <f>AND(#REF!,"AAAAAC34e+g=")</f>
        <v>#REF!</v>
      </c>
      <c r="HZ5" t="e">
        <f>AND(#REF!,"AAAAAC34e+k=")</f>
        <v>#REF!</v>
      </c>
      <c r="IA5" t="e">
        <f>AND(#REF!,"AAAAAC34e+o=")</f>
        <v>#REF!</v>
      </c>
      <c r="IB5" t="e">
        <f>AND(#REF!,"AAAAAC34e+s=")</f>
        <v>#REF!</v>
      </c>
      <c r="IC5" t="e">
        <f>AND(#REF!,"AAAAAC34e+w=")</f>
        <v>#REF!</v>
      </c>
      <c r="ID5" t="e">
        <f>AND(#REF!,"AAAAAC34e+0=")</f>
        <v>#REF!</v>
      </c>
      <c r="IE5" t="e">
        <f>AND(#REF!,"AAAAAC34e+4=")</f>
        <v>#REF!</v>
      </c>
      <c r="IF5" t="e">
        <f>AND(#REF!,"AAAAAC34e+8=")</f>
        <v>#REF!</v>
      </c>
      <c r="IG5" t="e">
        <f>AND(#REF!,"AAAAAC34e/A=")</f>
        <v>#REF!</v>
      </c>
      <c r="IH5" t="e">
        <f>AND(#REF!,"AAAAAC34e/E=")</f>
        <v>#REF!</v>
      </c>
      <c r="II5" t="e">
        <f>IF(#REF!,"AAAAAC34e/I=",0)</f>
        <v>#REF!</v>
      </c>
      <c r="IJ5" t="e">
        <f>AND(#REF!,"AAAAAC34e/M=")</f>
        <v>#REF!</v>
      </c>
      <c r="IK5" t="e">
        <f>AND(#REF!,"AAAAAC34e/Q=")</f>
        <v>#REF!</v>
      </c>
      <c r="IL5" t="e">
        <f>AND(#REF!,"AAAAAC34e/U=")</f>
        <v>#REF!</v>
      </c>
      <c r="IM5" t="e">
        <f>AND(#REF!,"AAAAAC34e/Y=")</f>
        <v>#REF!</v>
      </c>
      <c r="IN5" t="e">
        <f>AND(#REF!,"AAAAAC34e/c=")</f>
        <v>#REF!</v>
      </c>
      <c r="IO5" t="e">
        <f>AND(#REF!,"AAAAAC34e/g=")</f>
        <v>#REF!</v>
      </c>
      <c r="IP5" t="e">
        <f>AND(#REF!,"AAAAAC34e/k=")</f>
        <v>#REF!</v>
      </c>
      <c r="IQ5" t="e">
        <f>AND(#REF!,"AAAAAC34e/o=")</f>
        <v>#REF!</v>
      </c>
      <c r="IR5" t="e">
        <f>AND(#REF!,"AAAAAC34e/s=")</f>
        <v>#REF!</v>
      </c>
      <c r="IS5" t="e">
        <f>AND(#REF!,"AAAAAC34e/w=")</f>
        <v>#REF!</v>
      </c>
      <c r="IT5" t="e">
        <f>IF(#REF!,"AAAAAC34e/0=",0)</f>
        <v>#REF!</v>
      </c>
      <c r="IU5" t="e">
        <f>AND(#REF!,"AAAAAC34e/4=")</f>
        <v>#REF!</v>
      </c>
      <c r="IV5" t="e">
        <f>AND(#REF!,"AAAAAC34e/8=")</f>
        <v>#REF!</v>
      </c>
    </row>
    <row r="6" spans="1:256" x14ac:dyDescent="0.25">
      <c r="A6" t="e">
        <f>AND(#REF!,"AAAAAHvv+gA=")</f>
        <v>#REF!</v>
      </c>
      <c r="B6" t="e">
        <f>AND(#REF!,"AAAAAHvv+gE=")</f>
        <v>#REF!</v>
      </c>
      <c r="C6" t="e">
        <f>AND(#REF!,"AAAAAHvv+gI=")</f>
        <v>#REF!</v>
      </c>
      <c r="D6" t="e">
        <f>AND(#REF!,"AAAAAHvv+gM=")</f>
        <v>#REF!</v>
      </c>
      <c r="E6" t="e">
        <f>AND(#REF!,"AAAAAHvv+gQ=")</f>
        <v>#REF!</v>
      </c>
      <c r="F6" t="e">
        <f>AND(#REF!,"AAAAAHvv+gU=")</f>
        <v>#REF!</v>
      </c>
      <c r="G6" t="e">
        <f>AND(#REF!,"AAAAAHvv+gY=")</f>
        <v>#REF!</v>
      </c>
      <c r="H6" t="e">
        <f>AND(#REF!,"AAAAAHvv+gc=")</f>
        <v>#REF!</v>
      </c>
      <c r="I6" t="e">
        <f>IF(#REF!,"AAAAAHvv+gg=",0)</f>
        <v>#REF!</v>
      </c>
      <c r="J6" t="e">
        <f>AND(#REF!,"AAAAAHvv+gk=")</f>
        <v>#REF!</v>
      </c>
      <c r="K6" t="e">
        <f>AND(#REF!,"AAAAAHvv+go=")</f>
        <v>#REF!</v>
      </c>
      <c r="L6" t="e">
        <f>AND(#REF!,"AAAAAHvv+gs=")</f>
        <v>#REF!</v>
      </c>
      <c r="M6" t="e">
        <f>AND(#REF!,"AAAAAHvv+gw=")</f>
        <v>#REF!</v>
      </c>
      <c r="N6" t="e">
        <f>AND(#REF!,"AAAAAHvv+g0=")</f>
        <v>#REF!</v>
      </c>
      <c r="O6" t="e">
        <f>AND(#REF!,"AAAAAHvv+g4=")</f>
        <v>#REF!</v>
      </c>
      <c r="P6" t="e">
        <f>AND(#REF!,"AAAAAHvv+g8=")</f>
        <v>#REF!</v>
      </c>
      <c r="Q6" t="e">
        <f>AND(#REF!,"AAAAAHvv+hA=")</f>
        <v>#REF!</v>
      </c>
      <c r="R6" t="e">
        <f>AND(#REF!,"AAAAAHvv+hE=")</f>
        <v>#REF!</v>
      </c>
      <c r="S6" t="e">
        <f>AND(#REF!,"AAAAAHvv+hI=")</f>
        <v>#REF!</v>
      </c>
      <c r="T6" t="e">
        <f>IF(#REF!,"AAAAAHvv+hM=",0)</f>
        <v>#REF!</v>
      </c>
      <c r="U6" t="e">
        <f>AND(#REF!,"AAAAAHvv+hQ=")</f>
        <v>#REF!</v>
      </c>
      <c r="V6" t="e">
        <f>AND(#REF!,"AAAAAHvv+hU=")</f>
        <v>#REF!</v>
      </c>
      <c r="W6" t="e">
        <f>AND(#REF!,"AAAAAHvv+hY=")</f>
        <v>#REF!</v>
      </c>
      <c r="X6" t="e">
        <f>AND(#REF!,"AAAAAHvv+hc=")</f>
        <v>#REF!</v>
      </c>
      <c r="Y6" t="e">
        <f>AND(#REF!,"AAAAAHvv+hg=")</f>
        <v>#REF!</v>
      </c>
      <c r="Z6" t="e">
        <f>AND(#REF!,"AAAAAHvv+hk=")</f>
        <v>#REF!</v>
      </c>
      <c r="AA6" t="e">
        <f>AND(#REF!,"AAAAAHvv+ho=")</f>
        <v>#REF!</v>
      </c>
      <c r="AB6" t="e">
        <f>AND(#REF!,"AAAAAHvv+hs=")</f>
        <v>#REF!</v>
      </c>
      <c r="AC6" t="e">
        <f>AND(#REF!,"AAAAAHvv+hw=")</f>
        <v>#REF!</v>
      </c>
      <c r="AD6" t="e">
        <f>AND(#REF!,"AAAAAHvv+h0=")</f>
        <v>#REF!</v>
      </c>
      <c r="AE6" t="e">
        <f>IF(#REF!,"AAAAAHvv+h4=",0)</f>
        <v>#REF!</v>
      </c>
      <c r="AF6" t="e">
        <f>AND(#REF!,"AAAAAHvv+h8=")</f>
        <v>#REF!</v>
      </c>
      <c r="AG6" t="e">
        <f>AND(#REF!,"AAAAAHvv+iA=")</f>
        <v>#REF!</v>
      </c>
      <c r="AH6" t="e">
        <f>AND(#REF!,"AAAAAHvv+iE=")</f>
        <v>#REF!</v>
      </c>
      <c r="AI6" t="e">
        <f>AND(#REF!,"AAAAAHvv+iI=")</f>
        <v>#REF!</v>
      </c>
      <c r="AJ6" t="e">
        <f>AND(#REF!,"AAAAAHvv+iM=")</f>
        <v>#REF!</v>
      </c>
      <c r="AK6" t="e">
        <f>AND(#REF!,"AAAAAHvv+iQ=")</f>
        <v>#REF!</v>
      </c>
      <c r="AL6" t="e">
        <f>AND(#REF!,"AAAAAHvv+iU=")</f>
        <v>#REF!</v>
      </c>
      <c r="AM6" t="e">
        <f>AND(#REF!,"AAAAAHvv+iY=")</f>
        <v>#REF!</v>
      </c>
      <c r="AN6" t="e">
        <f>AND(#REF!,"AAAAAHvv+ic=")</f>
        <v>#REF!</v>
      </c>
      <c r="AO6" t="e">
        <f>AND(#REF!,"AAAAAHvv+ig=")</f>
        <v>#REF!</v>
      </c>
      <c r="AP6" t="e">
        <f>IF(#REF!,"AAAAAHvv+ik=",0)</f>
        <v>#REF!</v>
      </c>
      <c r="AQ6" t="e">
        <f>AND(#REF!,"AAAAAHvv+io=")</f>
        <v>#REF!</v>
      </c>
      <c r="AR6" t="e">
        <f>AND(#REF!,"AAAAAHvv+is=")</f>
        <v>#REF!</v>
      </c>
      <c r="AS6" t="e">
        <f>AND(#REF!,"AAAAAHvv+iw=")</f>
        <v>#REF!</v>
      </c>
      <c r="AT6" t="e">
        <f>AND(#REF!,"AAAAAHvv+i0=")</f>
        <v>#REF!</v>
      </c>
      <c r="AU6" t="e">
        <f>AND(#REF!,"AAAAAHvv+i4=")</f>
        <v>#REF!</v>
      </c>
      <c r="AV6" t="e">
        <f>AND(#REF!,"AAAAAHvv+i8=")</f>
        <v>#REF!</v>
      </c>
      <c r="AW6" t="e">
        <f>AND(#REF!,"AAAAAHvv+jA=")</f>
        <v>#REF!</v>
      </c>
      <c r="AX6" t="e">
        <f>AND(#REF!,"AAAAAHvv+jE=")</f>
        <v>#REF!</v>
      </c>
      <c r="AY6" t="e">
        <f>AND(#REF!,"AAAAAHvv+jI=")</f>
        <v>#REF!</v>
      </c>
      <c r="AZ6" t="e">
        <f>AND(#REF!,"AAAAAHvv+jM=")</f>
        <v>#REF!</v>
      </c>
      <c r="BA6" t="e">
        <f>IF(#REF!,"AAAAAHvv+jQ=",0)</f>
        <v>#REF!</v>
      </c>
      <c r="BB6" t="e">
        <f>AND(#REF!,"AAAAAHvv+jU=")</f>
        <v>#REF!</v>
      </c>
      <c r="BC6" t="e">
        <f>AND(#REF!,"AAAAAHvv+jY=")</f>
        <v>#REF!</v>
      </c>
      <c r="BD6" t="e">
        <f>AND(#REF!,"AAAAAHvv+jc=")</f>
        <v>#REF!</v>
      </c>
      <c r="BE6" t="e">
        <f>AND(#REF!,"AAAAAHvv+jg=")</f>
        <v>#REF!</v>
      </c>
      <c r="BF6" t="e">
        <f>AND(#REF!,"AAAAAHvv+jk=")</f>
        <v>#REF!</v>
      </c>
      <c r="BG6" t="e">
        <f>AND(#REF!,"AAAAAHvv+jo=")</f>
        <v>#REF!</v>
      </c>
      <c r="BH6" t="e">
        <f>AND(#REF!,"AAAAAHvv+js=")</f>
        <v>#REF!</v>
      </c>
      <c r="BI6" t="e">
        <f>AND(#REF!,"AAAAAHvv+jw=")</f>
        <v>#REF!</v>
      </c>
      <c r="BJ6" t="e">
        <f>AND(#REF!,"AAAAAHvv+j0=")</f>
        <v>#REF!</v>
      </c>
      <c r="BK6" t="e">
        <f>AND(#REF!,"AAAAAHvv+j4=")</f>
        <v>#REF!</v>
      </c>
      <c r="BL6" t="e">
        <f>IF(#REF!,"AAAAAHvv+j8=",0)</f>
        <v>#REF!</v>
      </c>
      <c r="BM6" t="e">
        <f>AND(#REF!,"AAAAAHvv+kA=")</f>
        <v>#REF!</v>
      </c>
      <c r="BN6" t="e">
        <f>AND(#REF!,"AAAAAHvv+kE=")</f>
        <v>#REF!</v>
      </c>
      <c r="BO6" t="e">
        <f>AND(#REF!,"AAAAAHvv+kI=")</f>
        <v>#REF!</v>
      </c>
      <c r="BP6" t="e">
        <f>AND(#REF!,"AAAAAHvv+kM=")</f>
        <v>#REF!</v>
      </c>
      <c r="BQ6" t="e">
        <f>AND(#REF!,"AAAAAHvv+kQ=")</f>
        <v>#REF!</v>
      </c>
      <c r="BR6" t="e">
        <f>AND(#REF!,"AAAAAHvv+kU=")</f>
        <v>#REF!</v>
      </c>
      <c r="BS6" t="e">
        <f>AND(#REF!,"AAAAAHvv+kY=")</f>
        <v>#REF!</v>
      </c>
      <c r="BT6" t="e">
        <f>AND(#REF!,"AAAAAHvv+kc=")</f>
        <v>#REF!</v>
      </c>
      <c r="BU6" t="e">
        <f>AND(#REF!,"AAAAAHvv+kg=")</f>
        <v>#REF!</v>
      </c>
      <c r="BV6" t="e">
        <f>AND(#REF!,"AAAAAHvv+kk=")</f>
        <v>#REF!</v>
      </c>
      <c r="BW6" t="e">
        <f>IF(#REF!,"AAAAAHvv+ko=",0)</f>
        <v>#REF!</v>
      </c>
      <c r="BX6" t="e">
        <f>AND(#REF!,"AAAAAHvv+ks=")</f>
        <v>#REF!</v>
      </c>
      <c r="BY6" t="e">
        <f>AND(#REF!,"AAAAAHvv+kw=")</f>
        <v>#REF!</v>
      </c>
      <c r="BZ6" t="e">
        <f>AND(#REF!,"AAAAAHvv+k0=")</f>
        <v>#REF!</v>
      </c>
      <c r="CA6" t="e">
        <f>AND(#REF!,"AAAAAHvv+k4=")</f>
        <v>#REF!</v>
      </c>
      <c r="CB6" t="e">
        <f>AND(#REF!,"AAAAAHvv+k8=")</f>
        <v>#REF!</v>
      </c>
      <c r="CC6" t="e">
        <f>AND(#REF!,"AAAAAHvv+lA=")</f>
        <v>#REF!</v>
      </c>
      <c r="CD6" t="e">
        <f>AND(#REF!,"AAAAAHvv+lE=")</f>
        <v>#REF!</v>
      </c>
      <c r="CE6" t="e">
        <f>AND(#REF!,"AAAAAHvv+lI=")</f>
        <v>#REF!</v>
      </c>
      <c r="CF6" t="e">
        <f>AND(#REF!,"AAAAAHvv+lM=")</f>
        <v>#REF!</v>
      </c>
      <c r="CG6" t="e">
        <f>AND(#REF!,"AAAAAHvv+lQ=")</f>
        <v>#REF!</v>
      </c>
      <c r="CH6" t="e">
        <f>IF(#REF!,"AAAAAHvv+lU=",0)</f>
        <v>#REF!</v>
      </c>
      <c r="CI6" t="e">
        <f>AND(#REF!,"AAAAAHvv+lY=")</f>
        <v>#REF!</v>
      </c>
      <c r="CJ6" t="e">
        <f>AND(#REF!,"AAAAAHvv+lc=")</f>
        <v>#REF!</v>
      </c>
      <c r="CK6" t="e">
        <f>AND(#REF!,"AAAAAHvv+lg=")</f>
        <v>#REF!</v>
      </c>
      <c r="CL6" t="e">
        <f>AND(#REF!,"AAAAAHvv+lk=")</f>
        <v>#REF!</v>
      </c>
      <c r="CM6" t="e">
        <f>AND(#REF!,"AAAAAHvv+lo=")</f>
        <v>#REF!</v>
      </c>
      <c r="CN6" t="e">
        <f>AND(#REF!,"AAAAAHvv+ls=")</f>
        <v>#REF!</v>
      </c>
      <c r="CO6" t="e">
        <f>AND(#REF!,"AAAAAHvv+lw=")</f>
        <v>#REF!</v>
      </c>
      <c r="CP6" t="e">
        <f>AND(#REF!,"AAAAAHvv+l0=")</f>
        <v>#REF!</v>
      </c>
      <c r="CQ6" t="e">
        <f>AND(#REF!,"AAAAAHvv+l4=")</f>
        <v>#REF!</v>
      </c>
      <c r="CR6" t="e">
        <f>AND(#REF!,"AAAAAHvv+l8=")</f>
        <v>#REF!</v>
      </c>
      <c r="CS6" t="e">
        <f>IF(#REF!,"AAAAAHvv+mA=",0)</f>
        <v>#REF!</v>
      </c>
      <c r="CT6" t="e">
        <f>AND(#REF!,"AAAAAHvv+mE=")</f>
        <v>#REF!</v>
      </c>
      <c r="CU6" t="e">
        <f>AND(#REF!,"AAAAAHvv+mI=")</f>
        <v>#REF!</v>
      </c>
      <c r="CV6" t="e">
        <f>AND(#REF!,"AAAAAHvv+mM=")</f>
        <v>#REF!</v>
      </c>
      <c r="CW6" t="e">
        <f>AND(#REF!,"AAAAAHvv+mQ=")</f>
        <v>#REF!</v>
      </c>
      <c r="CX6" t="e">
        <f>AND(#REF!,"AAAAAHvv+mU=")</f>
        <v>#REF!</v>
      </c>
      <c r="CY6" t="e">
        <f>AND(#REF!,"AAAAAHvv+mY=")</f>
        <v>#REF!</v>
      </c>
      <c r="CZ6" t="e">
        <f>AND(#REF!,"AAAAAHvv+mc=")</f>
        <v>#REF!</v>
      </c>
      <c r="DA6" t="e">
        <f>AND(#REF!,"AAAAAHvv+mg=")</f>
        <v>#REF!</v>
      </c>
      <c r="DB6" t="e">
        <f>AND(#REF!,"AAAAAHvv+mk=")</f>
        <v>#REF!</v>
      </c>
      <c r="DC6" t="e">
        <f>AND(#REF!,"AAAAAHvv+mo=")</f>
        <v>#REF!</v>
      </c>
      <c r="DD6" t="e">
        <f>IF(#REF!,"AAAAAHvv+ms=",0)</f>
        <v>#REF!</v>
      </c>
      <c r="DE6" t="e">
        <f>AND(#REF!,"AAAAAHvv+mw=")</f>
        <v>#REF!</v>
      </c>
      <c r="DF6" t="e">
        <f>AND(#REF!,"AAAAAHvv+m0=")</f>
        <v>#REF!</v>
      </c>
      <c r="DG6" t="e">
        <f>AND(#REF!,"AAAAAHvv+m4=")</f>
        <v>#REF!</v>
      </c>
      <c r="DH6" t="e">
        <f>AND(#REF!,"AAAAAHvv+m8=")</f>
        <v>#REF!</v>
      </c>
      <c r="DI6" t="e">
        <f>AND(#REF!,"AAAAAHvv+nA=")</f>
        <v>#REF!</v>
      </c>
      <c r="DJ6" t="e">
        <f>AND(#REF!,"AAAAAHvv+nE=")</f>
        <v>#REF!</v>
      </c>
      <c r="DK6" t="e">
        <f>AND(#REF!,"AAAAAHvv+nI=")</f>
        <v>#REF!</v>
      </c>
      <c r="DL6" t="e">
        <f>AND(#REF!,"AAAAAHvv+nM=")</f>
        <v>#REF!</v>
      </c>
      <c r="DM6" t="e">
        <f>AND(#REF!,"AAAAAHvv+nQ=")</f>
        <v>#REF!</v>
      </c>
      <c r="DN6" t="e">
        <f>AND(#REF!,"AAAAAHvv+nU=")</f>
        <v>#REF!</v>
      </c>
      <c r="DO6" t="e">
        <f>IF(#REF!,"AAAAAHvv+nY=",0)</f>
        <v>#REF!</v>
      </c>
      <c r="DP6" t="e">
        <f>AND(#REF!,"AAAAAHvv+nc=")</f>
        <v>#REF!</v>
      </c>
      <c r="DQ6" t="e">
        <f>AND(#REF!,"AAAAAHvv+ng=")</f>
        <v>#REF!</v>
      </c>
      <c r="DR6" t="e">
        <f>AND(#REF!,"AAAAAHvv+nk=")</f>
        <v>#REF!</v>
      </c>
      <c r="DS6" t="e">
        <f>AND(#REF!,"AAAAAHvv+no=")</f>
        <v>#REF!</v>
      </c>
      <c r="DT6" t="e">
        <f>AND(#REF!,"AAAAAHvv+ns=")</f>
        <v>#REF!</v>
      </c>
      <c r="DU6" t="e">
        <f>AND(#REF!,"AAAAAHvv+nw=")</f>
        <v>#REF!</v>
      </c>
      <c r="DV6" t="e">
        <f>AND(#REF!,"AAAAAHvv+n0=")</f>
        <v>#REF!</v>
      </c>
      <c r="DW6" t="e">
        <f>AND(#REF!,"AAAAAHvv+n4=")</f>
        <v>#REF!</v>
      </c>
      <c r="DX6" t="e">
        <f>AND(#REF!,"AAAAAHvv+n8=")</f>
        <v>#REF!</v>
      </c>
      <c r="DY6" t="e">
        <f>AND(#REF!,"AAAAAHvv+oA=")</f>
        <v>#REF!</v>
      </c>
      <c r="DZ6" t="e">
        <f>IF(#REF!,"AAAAAHvv+oE=",0)</f>
        <v>#REF!</v>
      </c>
      <c r="EA6" t="e">
        <f>AND(#REF!,"AAAAAHvv+oI=")</f>
        <v>#REF!</v>
      </c>
      <c r="EB6" t="e">
        <f>AND(#REF!,"AAAAAHvv+oM=")</f>
        <v>#REF!</v>
      </c>
      <c r="EC6" t="e">
        <f>AND(#REF!,"AAAAAHvv+oQ=")</f>
        <v>#REF!</v>
      </c>
      <c r="ED6" t="e">
        <f>AND(#REF!,"AAAAAHvv+oU=")</f>
        <v>#REF!</v>
      </c>
      <c r="EE6" t="e">
        <f>AND(#REF!,"AAAAAHvv+oY=")</f>
        <v>#REF!</v>
      </c>
      <c r="EF6" t="e">
        <f>AND(#REF!,"AAAAAHvv+oc=")</f>
        <v>#REF!</v>
      </c>
      <c r="EG6" t="e">
        <f>AND(#REF!,"AAAAAHvv+og=")</f>
        <v>#REF!</v>
      </c>
      <c r="EH6" t="e">
        <f>AND(#REF!,"AAAAAHvv+ok=")</f>
        <v>#REF!</v>
      </c>
      <c r="EI6" t="e">
        <f>AND(#REF!,"AAAAAHvv+oo=")</f>
        <v>#REF!</v>
      </c>
      <c r="EJ6" t="e">
        <f>AND(#REF!,"AAAAAHvv+os=")</f>
        <v>#REF!</v>
      </c>
      <c r="EK6" t="e">
        <f>IF(#REF!,"AAAAAHvv+ow=",0)</f>
        <v>#REF!</v>
      </c>
      <c r="EL6" t="e">
        <f>AND(#REF!,"AAAAAHvv+o0=")</f>
        <v>#REF!</v>
      </c>
      <c r="EM6" t="e">
        <f>AND(#REF!,"AAAAAHvv+o4=")</f>
        <v>#REF!</v>
      </c>
      <c r="EN6" t="e">
        <f>AND(#REF!,"AAAAAHvv+o8=")</f>
        <v>#REF!</v>
      </c>
      <c r="EO6" t="e">
        <f>AND(#REF!,"AAAAAHvv+pA=")</f>
        <v>#REF!</v>
      </c>
      <c r="EP6" t="e">
        <f>AND(#REF!,"AAAAAHvv+pE=")</f>
        <v>#REF!</v>
      </c>
      <c r="EQ6" t="e">
        <f>AND(#REF!,"AAAAAHvv+pI=")</f>
        <v>#REF!</v>
      </c>
      <c r="ER6" t="e">
        <f>AND(#REF!,"AAAAAHvv+pM=")</f>
        <v>#REF!</v>
      </c>
      <c r="ES6" t="e">
        <f>AND(#REF!,"AAAAAHvv+pQ=")</f>
        <v>#REF!</v>
      </c>
      <c r="ET6" t="e">
        <f>AND(#REF!,"AAAAAHvv+pU=")</f>
        <v>#REF!</v>
      </c>
      <c r="EU6" t="e">
        <f>AND(#REF!,"AAAAAHvv+pY=")</f>
        <v>#REF!</v>
      </c>
      <c r="EV6" t="e">
        <f>IF(#REF!,"AAAAAHvv+pc=",0)</f>
        <v>#REF!</v>
      </c>
      <c r="EW6" t="e">
        <f>AND(#REF!,"AAAAAHvv+pg=")</f>
        <v>#REF!</v>
      </c>
      <c r="EX6" t="e">
        <f>AND(#REF!,"AAAAAHvv+pk=")</f>
        <v>#REF!</v>
      </c>
      <c r="EY6" t="e">
        <f>AND(#REF!,"AAAAAHvv+po=")</f>
        <v>#REF!</v>
      </c>
      <c r="EZ6" t="e">
        <f>AND(#REF!,"AAAAAHvv+ps=")</f>
        <v>#REF!</v>
      </c>
      <c r="FA6" t="e">
        <f>AND(#REF!,"AAAAAHvv+pw=")</f>
        <v>#REF!</v>
      </c>
      <c r="FB6" t="e">
        <f>AND(#REF!,"AAAAAHvv+p0=")</f>
        <v>#REF!</v>
      </c>
      <c r="FC6" t="e">
        <f>AND(#REF!,"AAAAAHvv+p4=")</f>
        <v>#REF!</v>
      </c>
      <c r="FD6" t="e">
        <f>AND(#REF!,"AAAAAHvv+p8=")</f>
        <v>#REF!</v>
      </c>
      <c r="FE6" t="e">
        <f>AND(#REF!,"AAAAAHvv+qA=")</f>
        <v>#REF!</v>
      </c>
      <c r="FF6" t="e">
        <f>AND(#REF!,"AAAAAHvv+qE=")</f>
        <v>#REF!</v>
      </c>
      <c r="FG6" t="e">
        <f>IF(#REF!,"AAAAAHvv+qI=",0)</f>
        <v>#REF!</v>
      </c>
      <c r="FH6" t="e">
        <f>AND(#REF!,"AAAAAHvv+qM=")</f>
        <v>#REF!</v>
      </c>
      <c r="FI6" t="e">
        <f>AND(#REF!,"AAAAAHvv+qQ=")</f>
        <v>#REF!</v>
      </c>
      <c r="FJ6" t="e">
        <f>AND(#REF!,"AAAAAHvv+qU=")</f>
        <v>#REF!</v>
      </c>
      <c r="FK6" t="e">
        <f>AND(#REF!,"AAAAAHvv+qY=")</f>
        <v>#REF!</v>
      </c>
      <c r="FL6" t="e">
        <f>AND(#REF!,"AAAAAHvv+qc=")</f>
        <v>#REF!</v>
      </c>
      <c r="FM6" t="e">
        <f>AND(#REF!,"AAAAAHvv+qg=")</f>
        <v>#REF!</v>
      </c>
      <c r="FN6" t="e">
        <f>AND(#REF!,"AAAAAHvv+qk=")</f>
        <v>#REF!</v>
      </c>
      <c r="FO6" t="e">
        <f>AND(#REF!,"AAAAAHvv+qo=")</f>
        <v>#REF!</v>
      </c>
      <c r="FP6" t="e">
        <f>AND(#REF!,"AAAAAHvv+qs=")</f>
        <v>#REF!</v>
      </c>
      <c r="FQ6" t="e">
        <f>AND(#REF!,"AAAAAHvv+qw=")</f>
        <v>#REF!</v>
      </c>
      <c r="FR6" t="e">
        <f>IF(#REF!,"AAAAAHvv+q0=",0)</f>
        <v>#REF!</v>
      </c>
      <c r="FS6" t="e">
        <f>AND(#REF!,"AAAAAHvv+q4=")</f>
        <v>#REF!</v>
      </c>
      <c r="FT6" t="e">
        <f>AND(#REF!,"AAAAAHvv+q8=")</f>
        <v>#REF!</v>
      </c>
      <c r="FU6" t="e">
        <f>AND(#REF!,"AAAAAHvv+rA=")</f>
        <v>#REF!</v>
      </c>
      <c r="FV6" t="e">
        <f>AND(#REF!,"AAAAAHvv+rE=")</f>
        <v>#REF!</v>
      </c>
      <c r="FW6" t="e">
        <f>AND(#REF!,"AAAAAHvv+rI=")</f>
        <v>#REF!</v>
      </c>
      <c r="FX6" t="e">
        <f>AND(#REF!,"AAAAAHvv+rM=")</f>
        <v>#REF!</v>
      </c>
      <c r="FY6" t="e">
        <f>AND(#REF!,"AAAAAHvv+rQ=")</f>
        <v>#REF!</v>
      </c>
      <c r="FZ6" t="e">
        <f>AND(#REF!,"AAAAAHvv+rU=")</f>
        <v>#REF!</v>
      </c>
      <c r="GA6" t="e">
        <f>AND(#REF!,"AAAAAHvv+rY=")</f>
        <v>#REF!</v>
      </c>
      <c r="GB6" t="e">
        <f>AND(#REF!,"AAAAAHvv+rc=")</f>
        <v>#REF!</v>
      </c>
      <c r="GC6" t="e">
        <f>IF(#REF!,"AAAAAHvv+rg=",0)</f>
        <v>#REF!</v>
      </c>
      <c r="GD6" t="e">
        <f>AND(#REF!,"AAAAAHvv+rk=")</f>
        <v>#REF!</v>
      </c>
      <c r="GE6" t="e">
        <f>AND(#REF!,"AAAAAHvv+ro=")</f>
        <v>#REF!</v>
      </c>
      <c r="GF6" t="e">
        <f>AND(#REF!,"AAAAAHvv+rs=")</f>
        <v>#REF!</v>
      </c>
      <c r="GG6" t="e">
        <f>AND(#REF!,"AAAAAHvv+rw=")</f>
        <v>#REF!</v>
      </c>
      <c r="GH6" t="e">
        <f>AND(#REF!,"AAAAAHvv+r0=")</f>
        <v>#REF!</v>
      </c>
      <c r="GI6" t="e">
        <f>AND(#REF!,"AAAAAHvv+r4=")</f>
        <v>#REF!</v>
      </c>
      <c r="GJ6" t="e">
        <f>AND(#REF!,"AAAAAHvv+r8=")</f>
        <v>#REF!</v>
      </c>
      <c r="GK6" t="e">
        <f>AND(#REF!,"AAAAAHvv+sA=")</f>
        <v>#REF!</v>
      </c>
      <c r="GL6" t="e">
        <f>AND(#REF!,"AAAAAHvv+sE=")</f>
        <v>#REF!</v>
      </c>
      <c r="GM6" t="e">
        <f>AND(#REF!,"AAAAAHvv+sI=")</f>
        <v>#REF!</v>
      </c>
      <c r="GN6" t="e">
        <f>IF(#REF!,"AAAAAHvv+sM=",0)</f>
        <v>#REF!</v>
      </c>
      <c r="GO6" t="e">
        <f>AND(#REF!,"AAAAAHvv+sQ=")</f>
        <v>#REF!</v>
      </c>
      <c r="GP6" t="e">
        <f>AND(#REF!,"AAAAAHvv+sU=")</f>
        <v>#REF!</v>
      </c>
      <c r="GQ6" t="e">
        <f>AND(#REF!,"AAAAAHvv+sY=")</f>
        <v>#REF!</v>
      </c>
      <c r="GR6" t="e">
        <f>AND(#REF!,"AAAAAHvv+sc=")</f>
        <v>#REF!</v>
      </c>
      <c r="GS6" t="e">
        <f>AND(#REF!,"AAAAAHvv+sg=")</f>
        <v>#REF!</v>
      </c>
      <c r="GT6" t="e">
        <f>AND(#REF!,"AAAAAHvv+sk=")</f>
        <v>#REF!</v>
      </c>
      <c r="GU6" t="e">
        <f>AND(#REF!,"AAAAAHvv+so=")</f>
        <v>#REF!</v>
      </c>
      <c r="GV6" t="e">
        <f>AND(#REF!,"AAAAAHvv+ss=")</f>
        <v>#REF!</v>
      </c>
      <c r="GW6" t="e">
        <f>AND(#REF!,"AAAAAHvv+sw=")</f>
        <v>#REF!</v>
      </c>
      <c r="GX6" t="e">
        <f>AND(#REF!,"AAAAAHvv+s0=")</f>
        <v>#REF!</v>
      </c>
      <c r="GY6" t="e">
        <f>IF(#REF!,"AAAAAHvv+s4=",0)</f>
        <v>#REF!</v>
      </c>
      <c r="GZ6" t="e">
        <f>AND(#REF!,"AAAAAHvv+s8=")</f>
        <v>#REF!</v>
      </c>
      <c r="HA6" t="e">
        <f>AND(#REF!,"AAAAAHvv+tA=")</f>
        <v>#REF!</v>
      </c>
      <c r="HB6" t="e">
        <f>AND(#REF!,"AAAAAHvv+tE=")</f>
        <v>#REF!</v>
      </c>
      <c r="HC6" t="e">
        <f>AND(#REF!,"AAAAAHvv+tI=")</f>
        <v>#REF!</v>
      </c>
      <c r="HD6" t="e">
        <f>AND(#REF!,"AAAAAHvv+tM=")</f>
        <v>#REF!</v>
      </c>
      <c r="HE6" t="e">
        <f>AND(#REF!,"AAAAAHvv+tQ=")</f>
        <v>#REF!</v>
      </c>
      <c r="HF6" t="e">
        <f>AND(#REF!,"AAAAAHvv+tU=")</f>
        <v>#REF!</v>
      </c>
      <c r="HG6" t="e">
        <f>AND(#REF!,"AAAAAHvv+tY=")</f>
        <v>#REF!</v>
      </c>
      <c r="HH6" t="e">
        <f>AND(#REF!,"AAAAAHvv+tc=")</f>
        <v>#REF!</v>
      </c>
      <c r="HI6" t="e">
        <f>AND(#REF!,"AAAAAHvv+tg=")</f>
        <v>#REF!</v>
      </c>
      <c r="HJ6" t="e">
        <f>IF(#REF!,"AAAAAHvv+tk=",0)</f>
        <v>#REF!</v>
      </c>
      <c r="HK6" t="e">
        <f>AND(#REF!,"AAAAAHvv+to=")</f>
        <v>#REF!</v>
      </c>
      <c r="HL6" t="e">
        <f>AND(#REF!,"AAAAAHvv+ts=")</f>
        <v>#REF!</v>
      </c>
      <c r="HM6" t="e">
        <f>AND(#REF!,"AAAAAHvv+tw=")</f>
        <v>#REF!</v>
      </c>
      <c r="HN6" t="e">
        <f>AND(#REF!,"AAAAAHvv+t0=")</f>
        <v>#REF!</v>
      </c>
      <c r="HO6" t="e">
        <f>AND(#REF!,"AAAAAHvv+t4=")</f>
        <v>#REF!</v>
      </c>
      <c r="HP6" t="e">
        <f>AND(#REF!,"AAAAAHvv+t8=")</f>
        <v>#REF!</v>
      </c>
      <c r="HQ6" t="e">
        <f>AND(#REF!,"AAAAAHvv+uA=")</f>
        <v>#REF!</v>
      </c>
      <c r="HR6" t="e">
        <f>AND(#REF!,"AAAAAHvv+uE=")</f>
        <v>#REF!</v>
      </c>
      <c r="HS6" t="e">
        <f>AND(#REF!,"AAAAAHvv+uI=")</f>
        <v>#REF!</v>
      </c>
      <c r="HT6" t="e">
        <f>AND(#REF!,"AAAAAHvv+uM=")</f>
        <v>#REF!</v>
      </c>
      <c r="HU6" t="e">
        <f>IF(#REF!,"AAAAAHvv+uQ=",0)</f>
        <v>#REF!</v>
      </c>
      <c r="HV6" t="e">
        <f>AND(#REF!,"AAAAAHvv+uU=")</f>
        <v>#REF!</v>
      </c>
      <c r="HW6" t="e">
        <f>AND(#REF!,"AAAAAHvv+uY=")</f>
        <v>#REF!</v>
      </c>
      <c r="HX6" t="e">
        <f>AND(#REF!,"AAAAAHvv+uc=")</f>
        <v>#REF!</v>
      </c>
      <c r="HY6" t="e">
        <f>AND(#REF!,"AAAAAHvv+ug=")</f>
        <v>#REF!</v>
      </c>
      <c r="HZ6" t="e">
        <f>AND(#REF!,"AAAAAHvv+uk=")</f>
        <v>#REF!</v>
      </c>
      <c r="IA6" t="e">
        <f>AND(#REF!,"AAAAAHvv+uo=")</f>
        <v>#REF!</v>
      </c>
      <c r="IB6" t="e">
        <f>AND(#REF!,"AAAAAHvv+us=")</f>
        <v>#REF!</v>
      </c>
      <c r="IC6" t="e">
        <f>AND(#REF!,"AAAAAHvv+uw=")</f>
        <v>#REF!</v>
      </c>
      <c r="ID6" t="e">
        <f>AND(#REF!,"AAAAAHvv+u0=")</f>
        <v>#REF!</v>
      </c>
      <c r="IE6" t="e">
        <f>AND(#REF!,"AAAAAHvv+u4=")</f>
        <v>#REF!</v>
      </c>
      <c r="IF6" t="e">
        <f>IF(#REF!,"AAAAAHvv+u8=",0)</f>
        <v>#REF!</v>
      </c>
      <c r="IG6" t="e">
        <f>AND(#REF!,"AAAAAHvv+vA=")</f>
        <v>#REF!</v>
      </c>
      <c r="IH6" t="e">
        <f>AND(#REF!,"AAAAAHvv+vE=")</f>
        <v>#REF!</v>
      </c>
      <c r="II6" t="e">
        <f>AND(#REF!,"AAAAAHvv+vI=")</f>
        <v>#REF!</v>
      </c>
      <c r="IJ6" t="e">
        <f>AND(#REF!,"AAAAAHvv+vM=")</f>
        <v>#REF!</v>
      </c>
      <c r="IK6" t="e">
        <f>AND(#REF!,"AAAAAHvv+vQ=")</f>
        <v>#REF!</v>
      </c>
      <c r="IL6" t="e">
        <f>AND(#REF!,"AAAAAHvv+vU=")</f>
        <v>#REF!</v>
      </c>
      <c r="IM6" t="e">
        <f>AND(#REF!,"AAAAAHvv+vY=")</f>
        <v>#REF!</v>
      </c>
      <c r="IN6" t="e">
        <f>AND(#REF!,"AAAAAHvv+vc=")</f>
        <v>#REF!</v>
      </c>
      <c r="IO6" t="e">
        <f>AND(#REF!,"AAAAAHvv+vg=")</f>
        <v>#REF!</v>
      </c>
      <c r="IP6" t="e">
        <f>AND(#REF!,"AAAAAHvv+vk=")</f>
        <v>#REF!</v>
      </c>
      <c r="IQ6" t="e">
        <f>IF(#REF!,"AAAAAHvv+vo=",0)</f>
        <v>#REF!</v>
      </c>
      <c r="IR6" t="e">
        <f>AND(#REF!,"AAAAAHvv+vs=")</f>
        <v>#REF!</v>
      </c>
      <c r="IS6" t="e">
        <f>AND(#REF!,"AAAAAHvv+vw=")</f>
        <v>#REF!</v>
      </c>
      <c r="IT6" t="e">
        <f>AND(#REF!,"AAAAAHvv+v0=")</f>
        <v>#REF!</v>
      </c>
      <c r="IU6" t="e">
        <f>AND(#REF!,"AAAAAHvv+v4=")</f>
        <v>#REF!</v>
      </c>
      <c r="IV6" t="e">
        <f>AND(#REF!,"AAAAAHvv+v8=")</f>
        <v>#REF!</v>
      </c>
    </row>
    <row r="7" spans="1:256" x14ac:dyDescent="0.25">
      <c r="A7" t="e">
        <f>AND(#REF!,"AAAAAH3jTQA=")</f>
        <v>#REF!</v>
      </c>
      <c r="B7" t="e">
        <f>AND(#REF!,"AAAAAH3jTQE=")</f>
        <v>#REF!</v>
      </c>
      <c r="C7" t="e">
        <f>AND(#REF!,"AAAAAH3jTQI=")</f>
        <v>#REF!</v>
      </c>
      <c r="D7" t="e">
        <f>AND(#REF!,"AAAAAH3jTQM=")</f>
        <v>#REF!</v>
      </c>
      <c r="E7" t="e">
        <f>AND(#REF!,"AAAAAH3jTQQ=")</f>
        <v>#REF!</v>
      </c>
      <c r="F7" t="e">
        <f>IF(#REF!,"AAAAAH3jTQU=",0)</f>
        <v>#REF!</v>
      </c>
      <c r="G7" t="e">
        <f>AND(#REF!,"AAAAAH3jTQY=")</f>
        <v>#REF!</v>
      </c>
      <c r="H7" t="e">
        <f>AND(#REF!,"AAAAAH3jTQc=")</f>
        <v>#REF!</v>
      </c>
      <c r="I7" t="e">
        <f>AND(#REF!,"AAAAAH3jTQg=")</f>
        <v>#REF!</v>
      </c>
      <c r="J7" t="e">
        <f>AND(#REF!,"AAAAAH3jTQk=")</f>
        <v>#REF!</v>
      </c>
      <c r="K7" t="e">
        <f>AND(#REF!,"AAAAAH3jTQo=")</f>
        <v>#REF!</v>
      </c>
      <c r="L7" t="e">
        <f>AND(#REF!,"AAAAAH3jTQs=")</f>
        <v>#REF!</v>
      </c>
      <c r="M7" t="e">
        <f>AND(#REF!,"AAAAAH3jTQw=")</f>
        <v>#REF!</v>
      </c>
      <c r="N7" t="e">
        <f>AND(#REF!,"AAAAAH3jTQ0=")</f>
        <v>#REF!</v>
      </c>
      <c r="O7" t="e">
        <f>AND(#REF!,"AAAAAH3jTQ4=")</f>
        <v>#REF!</v>
      </c>
      <c r="P7" t="e">
        <f>AND(#REF!,"AAAAAH3jTQ8=")</f>
        <v>#REF!</v>
      </c>
      <c r="Q7" t="e">
        <f>IF(#REF!,"AAAAAH3jTRA=",0)</f>
        <v>#REF!</v>
      </c>
      <c r="R7" t="e">
        <f>AND(#REF!,"AAAAAH3jTRE=")</f>
        <v>#REF!</v>
      </c>
      <c r="S7" t="e">
        <f>AND(#REF!,"AAAAAH3jTRI=")</f>
        <v>#REF!</v>
      </c>
      <c r="T7" t="e">
        <f>AND(#REF!,"AAAAAH3jTRM=")</f>
        <v>#REF!</v>
      </c>
      <c r="U7" t="e">
        <f>AND(#REF!,"AAAAAH3jTRQ=")</f>
        <v>#REF!</v>
      </c>
      <c r="V7" t="e">
        <f>AND(#REF!,"AAAAAH3jTRU=")</f>
        <v>#REF!</v>
      </c>
      <c r="W7" t="e">
        <f>AND(#REF!,"AAAAAH3jTRY=")</f>
        <v>#REF!</v>
      </c>
      <c r="X7" t="e">
        <f>AND(#REF!,"AAAAAH3jTRc=")</f>
        <v>#REF!</v>
      </c>
      <c r="Y7" t="e">
        <f>AND(#REF!,"AAAAAH3jTRg=")</f>
        <v>#REF!</v>
      </c>
      <c r="Z7" t="e">
        <f>AND(#REF!,"AAAAAH3jTRk=")</f>
        <v>#REF!</v>
      </c>
      <c r="AA7" t="e">
        <f>AND(#REF!,"AAAAAH3jTRo=")</f>
        <v>#REF!</v>
      </c>
      <c r="AB7" t="e">
        <f>IF(#REF!,"AAAAAH3jTRs=",0)</f>
        <v>#REF!</v>
      </c>
      <c r="AC7" t="e">
        <f>AND(#REF!,"AAAAAH3jTRw=")</f>
        <v>#REF!</v>
      </c>
      <c r="AD7" t="e">
        <f>AND(#REF!,"AAAAAH3jTR0=")</f>
        <v>#REF!</v>
      </c>
      <c r="AE7" t="e">
        <f>AND(#REF!,"AAAAAH3jTR4=")</f>
        <v>#REF!</v>
      </c>
      <c r="AF7" t="e">
        <f>AND(#REF!,"AAAAAH3jTR8=")</f>
        <v>#REF!</v>
      </c>
      <c r="AG7" t="e">
        <f>AND(#REF!,"AAAAAH3jTSA=")</f>
        <v>#REF!</v>
      </c>
      <c r="AH7" t="e">
        <f>AND(#REF!,"AAAAAH3jTSE=")</f>
        <v>#REF!</v>
      </c>
      <c r="AI7" t="e">
        <f>AND(#REF!,"AAAAAH3jTSI=")</f>
        <v>#REF!</v>
      </c>
      <c r="AJ7" t="e">
        <f>AND(#REF!,"AAAAAH3jTSM=")</f>
        <v>#REF!</v>
      </c>
      <c r="AK7" t="e">
        <f>AND(#REF!,"AAAAAH3jTSQ=")</f>
        <v>#REF!</v>
      </c>
      <c r="AL7" t="e">
        <f>AND(#REF!,"AAAAAH3jTSU=")</f>
        <v>#REF!</v>
      </c>
      <c r="AM7" t="e">
        <f>IF(#REF!,"AAAAAH3jTSY=",0)</f>
        <v>#REF!</v>
      </c>
      <c r="AN7" t="e">
        <f>AND(#REF!,"AAAAAH3jTSc=")</f>
        <v>#REF!</v>
      </c>
      <c r="AO7" t="e">
        <f>AND(#REF!,"AAAAAH3jTSg=")</f>
        <v>#REF!</v>
      </c>
      <c r="AP7" t="e">
        <f>AND(#REF!,"AAAAAH3jTSk=")</f>
        <v>#REF!</v>
      </c>
      <c r="AQ7" t="e">
        <f>AND(#REF!,"AAAAAH3jTSo=")</f>
        <v>#REF!</v>
      </c>
      <c r="AR7" t="e">
        <f>AND(#REF!,"AAAAAH3jTSs=")</f>
        <v>#REF!</v>
      </c>
      <c r="AS7" t="e">
        <f>AND(#REF!,"AAAAAH3jTSw=")</f>
        <v>#REF!</v>
      </c>
      <c r="AT7" t="e">
        <f>AND(#REF!,"AAAAAH3jTS0=")</f>
        <v>#REF!</v>
      </c>
      <c r="AU7" t="e">
        <f>AND(#REF!,"AAAAAH3jTS4=")</f>
        <v>#REF!</v>
      </c>
      <c r="AV7" t="e">
        <f>AND(#REF!,"AAAAAH3jTS8=")</f>
        <v>#REF!</v>
      </c>
      <c r="AW7" t="e">
        <f>AND(#REF!,"AAAAAH3jTTA=")</f>
        <v>#REF!</v>
      </c>
      <c r="AX7" t="e">
        <f>IF(#REF!,"AAAAAH3jTTE=",0)</f>
        <v>#REF!</v>
      </c>
      <c r="AY7" t="e">
        <f>AND(#REF!,"AAAAAH3jTTI=")</f>
        <v>#REF!</v>
      </c>
      <c r="AZ7" t="e">
        <f>AND(#REF!,"AAAAAH3jTTM=")</f>
        <v>#REF!</v>
      </c>
      <c r="BA7" t="e">
        <f>AND(#REF!,"AAAAAH3jTTQ=")</f>
        <v>#REF!</v>
      </c>
      <c r="BB7" t="e">
        <f>AND(#REF!,"AAAAAH3jTTU=")</f>
        <v>#REF!</v>
      </c>
      <c r="BC7" t="e">
        <f>AND(#REF!,"AAAAAH3jTTY=")</f>
        <v>#REF!</v>
      </c>
      <c r="BD7" t="e">
        <f>AND(#REF!,"AAAAAH3jTTc=")</f>
        <v>#REF!</v>
      </c>
      <c r="BE7" t="e">
        <f>AND(#REF!,"AAAAAH3jTTg=")</f>
        <v>#REF!</v>
      </c>
      <c r="BF7" t="e">
        <f>AND(#REF!,"AAAAAH3jTTk=")</f>
        <v>#REF!</v>
      </c>
      <c r="BG7" t="e">
        <f>AND(#REF!,"AAAAAH3jTTo=")</f>
        <v>#REF!</v>
      </c>
      <c r="BH7" t="e">
        <f>AND(#REF!,"AAAAAH3jTTs=")</f>
        <v>#REF!</v>
      </c>
      <c r="BI7" t="e">
        <f>IF(#REF!,"AAAAAH3jTTw=",0)</f>
        <v>#REF!</v>
      </c>
      <c r="BJ7" t="e">
        <f>AND(#REF!,"AAAAAH3jTT0=")</f>
        <v>#REF!</v>
      </c>
      <c r="BK7" t="e">
        <f>AND(#REF!,"AAAAAH3jTT4=")</f>
        <v>#REF!</v>
      </c>
      <c r="BL7" t="e">
        <f>AND(#REF!,"AAAAAH3jTT8=")</f>
        <v>#REF!</v>
      </c>
      <c r="BM7" t="e">
        <f>AND(#REF!,"AAAAAH3jTUA=")</f>
        <v>#REF!</v>
      </c>
      <c r="BN7" t="e">
        <f>AND(#REF!,"AAAAAH3jTUE=")</f>
        <v>#REF!</v>
      </c>
      <c r="BO7" t="e">
        <f>AND(#REF!,"AAAAAH3jTUI=")</f>
        <v>#REF!</v>
      </c>
      <c r="BP7" t="e">
        <f>AND(#REF!,"AAAAAH3jTUM=")</f>
        <v>#REF!</v>
      </c>
      <c r="BQ7" t="e">
        <f>AND(#REF!,"AAAAAH3jTUQ=")</f>
        <v>#REF!</v>
      </c>
      <c r="BR7" t="e">
        <f>AND(#REF!,"AAAAAH3jTUU=")</f>
        <v>#REF!</v>
      </c>
      <c r="BS7" t="e">
        <f>AND(#REF!,"AAAAAH3jTUY=")</f>
        <v>#REF!</v>
      </c>
      <c r="BT7" t="e">
        <f>IF(#REF!,"AAAAAH3jTUc=",0)</f>
        <v>#REF!</v>
      </c>
      <c r="BU7" t="e">
        <f>IF(#REF!,"AAAAAH3jTUg=",0)</f>
        <v>#REF!</v>
      </c>
      <c r="BV7" t="e">
        <f>IF(#REF!,"AAAAAH3jTUk=",0)</f>
        <v>#REF!</v>
      </c>
      <c r="BW7" t="e">
        <f>IF(#REF!,"AAAAAH3jTUo=",0)</f>
        <v>#REF!</v>
      </c>
      <c r="BX7" t="e">
        <f>IF(#REF!,"AAAAAH3jTUs=",0)</f>
        <v>#REF!</v>
      </c>
      <c r="BY7" t="e">
        <f>IF(#REF!,"AAAAAH3jTUw=",0)</f>
        <v>#REF!</v>
      </c>
      <c r="BZ7" t="e">
        <f>IF(#REF!,"AAAAAH3jTU0=",0)</f>
        <v>#REF!</v>
      </c>
      <c r="CA7" t="e">
        <f>IF(#REF!,"AAAAAH3jTU4=",0)</f>
        <v>#REF!</v>
      </c>
      <c r="CB7" t="e">
        <f>IF(#REF!,"AAAAAH3jTU8=",0)</f>
        <v>#REF!</v>
      </c>
      <c r="CC7" t="e">
        <f>IF(#REF!,"AAAAAH3jTVA=",0)</f>
        <v>#REF!</v>
      </c>
      <c r="CD7" t="e">
        <f>IF(#REF!,"AAAAAH3jTVE=",0)</f>
        <v>#REF!</v>
      </c>
      <c r="CE7" t="e">
        <f>AND(#REF!,"AAAAAH3jTVI=")</f>
        <v>#REF!</v>
      </c>
      <c r="CF7" t="e">
        <f>AND(#REF!,"AAAAAH3jTVM=")</f>
        <v>#REF!</v>
      </c>
      <c r="CG7" t="e">
        <f>AND(#REF!,"AAAAAH3jTVQ=")</f>
        <v>#REF!</v>
      </c>
      <c r="CH7" t="e">
        <f>AND(#REF!,"AAAAAH3jTVU=")</f>
        <v>#REF!</v>
      </c>
      <c r="CI7" t="e">
        <f>AND(#REF!,"AAAAAH3jTVY=")</f>
        <v>#REF!</v>
      </c>
      <c r="CJ7" t="e">
        <f>AND(#REF!,"AAAAAH3jTVc=")</f>
        <v>#REF!</v>
      </c>
      <c r="CK7" t="e">
        <f>AND(#REF!,"AAAAAH3jTVg=")</f>
        <v>#REF!</v>
      </c>
      <c r="CL7" t="e">
        <f>AND(#REF!,"AAAAAH3jTVk=")</f>
        <v>#REF!</v>
      </c>
      <c r="CM7" t="e">
        <f>AND(#REF!,"AAAAAH3jTVo=")</f>
        <v>#REF!</v>
      </c>
      <c r="CN7" t="e">
        <f>AND(#REF!,"AAAAAH3jTVs=")</f>
        <v>#REF!</v>
      </c>
      <c r="CO7" t="e">
        <f>IF(#REF!,"AAAAAH3jTVw=",0)</f>
        <v>#REF!</v>
      </c>
      <c r="CP7" t="e">
        <f>AND(#REF!,"AAAAAH3jTV0=")</f>
        <v>#REF!</v>
      </c>
      <c r="CQ7" t="e">
        <f>AND(#REF!,"AAAAAH3jTV4=")</f>
        <v>#REF!</v>
      </c>
      <c r="CR7" t="e">
        <f>AND(#REF!,"AAAAAH3jTV8=")</f>
        <v>#REF!</v>
      </c>
      <c r="CS7" t="e">
        <f>AND(#REF!,"AAAAAH3jTWA=")</f>
        <v>#REF!</v>
      </c>
      <c r="CT7" t="e">
        <f>AND(#REF!,"AAAAAH3jTWE=")</f>
        <v>#REF!</v>
      </c>
      <c r="CU7" t="e">
        <f>AND(#REF!,"AAAAAH3jTWI=")</f>
        <v>#REF!</v>
      </c>
      <c r="CV7" t="e">
        <f>AND(#REF!,"AAAAAH3jTWM=")</f>
        <v>#REF!</v>
      </c>
      <c r="CW7" t="e">
        <f>AND(#REF!,"AAAAAH3jTWQ=")</f>
        <v>#REF!</v>
      </c>
      <c r="CX7" t="e">
        <f>AND(#REF!,"AAAAAH3jTWU=")</f>
        <v>#REF!</v>
      </c>
      <c r="CY7" t="e">
        <f>AND(#REF!,"AAAAAH3jTWY=")</f>
        <v>#REF!</v>
      </c>
      <c r="CZ7" t="e">
        <f>IF(#REF!,"AAAAAH3jTWc=",0)</f>
        <v>#REF!</v>
      </c>
      <c r="DA7" t="e">
        <f>AND(#REF!,"AAAAAH3jTWg=")</f>
        <v>#REF!</v>
      </c>
      <c r="DB7" t="e">
        <f>AND(#REF!,"AAAAAH3jTWk=")</f>
        <v>#REF!</v>
      </c>
      <c r="DC7" t="e">
        <f>AND(#REF!,"AAAAAH3jTWo=")</f>
        <v>#REF!</v>
      </c>
      <c r="DD7" t="e">
        <f>AND(#REF!,"AAAAAH3jTWs=")</f>
        <v>#REF!</v>
      </c>
      <c r="DE7" t="e">
        <f>AND(#REF!,"AAAAAH3jTWw=")</f>
        <v>#REF!</v>
      </c>
      <c r="DF7" t="e">
        <f>AND(#REF!,"AAAAAH3jTW0=")</f>
        <v>#REF!</v>
      </c>
      <c r="DG7" t="e">
        <f>AND(#REF!,"AAAAAH3jTW4=")</f>
        <v>#REF!</v>
      </c>
      <c r="DH7" t="e">
        <f>AND(#REF!,"AAAAAH3jTW8=")</f>
        <v>#REF!</v>
      </c>
      <c r="DI7" t="e">
        <f>AND(#REF!,"AAAAAH3jTXA=")</f>
        <v>#REF!</v>
      </c>
      <c r="DJ7" t="e">
        <f>AND(#REF!,"AAAAAH3jTXE=")</f>
        <v>#REF!</v>
      </c>
      <c r="DK7" t="e">
        <f>IF(#REF!,"AAAAAH3jTXI=",0)</f>
        <v>#REF!</v>
      </c>
      <c r="DL7" t="e">
        <f>AND(#REF!,"AAAAAH3jTXM=")</f>
        <v>#REF!</v>
      </c>
      <c r="DM7" t="e">
        <f>AND(#REF!,"AAAAAH3jTXQ=")</f>
        <v>#REF!</v>
      </c>
      <c r="DN7" t="e">
        <f>AND(#REF!,"AAAAAH3jTXU=")</f>
        <v>#REF!</v>
      </c>
      <c r="DO7" t="e">
        <f>AND(#REF!,"AAAAAH3jTXY=")</f>
        <v>#REF!</v>
      </c>
      <c r="DP7" t="e">
        <f>AND(#REF!,"AAAAAH3jTXc=")</f>
        <v>#REF!</v>
      </c>
      <c r="DQ7" t="e">
        <f>AND(#REF!,"AAAAAH3jTXg=")</f>
        <v>#REF!</v>
      </c>
      <c r="DR7" t="e">
        <f>AND(#REF!,"AAAAAH3jTXk=")</f>
        <v>#REF!</v>
      </c>
      <c r="DS7" t="e">
        <f>AND(#REF!,"AAAAAH3jTXo=")</f>
        <v>#REF!</v>
      </c>
      <c r="DT7" t="e">
        <f>AND(#REF!,"AAAAAH3jTXs=")</f>
        <v>#REF!</v>
      </c>
      <c r="DU7" t="e">
        <f>AND(#REF!,"AAAAAH3jTXw=")</f>
        <v>#REF!</v>
      </c>
      <c r="DV7" t="e">
        <f>IF(#REF!,"AAAAAH3jTX0=",0)</f>
        <v>#REF!</v>
      </c>
      <c r="DW7" t="e">
        <f>AND(#REF!,"AAAAAH3jTX4=")</f>
        <v>#REF!</v>
      </c>
      <c r="DX7" t="e">
        <f>AND(#REF!,"AAAAAH3jTX8=")</f>
        <v>#REF!</v>
      </c>
      <c r="DY7" t="e">
        <f>AND(#REF!,"AAAAAH3jTYA=")</f>
        <v>#REF!</v>
      </c>
      <c r="DZ7" t="e">
        <f>AND(#REF!,"AAAAAH3jTYE=")</f>
        <v>#REF!</v>
      </c>
      <c r="EA7" t="e">
        <f>AND(#REF!,"AAAAAH3jTYI=")</f>
        <v>#REF!</v>
      </c>
      <c r="EB7" t="e">
        <f>AND(#REF!,"AAAAAH3jTYM=")</f>
        <v>#REF!</v>
      </c>
      <c r="EC7" t="e">
        <f>AND(#REF!,"AAAAAH3jTYQ=")</f>
        <v>#REF!</v>
      </c>
      <c r="ED7" t="e">
        <f>AND(#REF!,"AAAAAH3jTYU=")</f>
        <v>#REF!</v>
      </c>
      <c r="EE7" t="e">
        <f>AND(#REF!,"AAAAAH3jTYY=")</f>
        <v>#REF!</v>
      </c>
      <c r="EF7" t="e">
        <f>AND(#REF!,"AAAAAH3jTYc=")</f>
        <v>#REF!</v>
      </c>
      <c r="EG7" t="e">
        <f>IF(#REF!,"AAAAAH3jTYg=",0)</f>
        <v>#REF!</v>
      </c>
      <c r="EH7" t="e">
        <f>AND(#REF!,"AAAAAH3jTYk=")</f>
        <v>#REF!</v>
      </c>
      <c r="EI7" t="e">
        <f>AND(#REF!,"AAAAAH3jTYo=")</f>
        <v>#REF!</v>
      </c>
      <c r="EJ7" t="e">
        <f>AND(#REF!,"AAAAAH3jTYs=")</f>
        <v>#REF!</v>
      </c>
      <c r="EK7" t="e">
        <f>AND(#REF!,"AAAAAH3jTYw=")</f>
        <v>#REF!</v>
      </c>
      <c r="EL7" t="e">
        <f>AND(#REF!,"AAAAAH3jTY0=")</f>
        <v>#REF!</v>
      </c>
      <c r="EM7" t="e">
        <f>AND(#REF!,"AAAAAH3jTY4=")</f>
        <v>#REF!</v>
      </c>
      <c r="EN7" t="e">
        <f>AND(#REF!,"AAAAAH3jTY8=")</f>
        <v>#REF!</v>
      </c>
      <c r="EO7" t="e">
        <f>AND(#REF!,"AAAAAH3jTZA=")</f>
        <v>#REF!</v>
      </c>
      <c r="EP7" t="e">
        <f>AND(#REF!,"AAAAAH3jTZE=")</f>
        <v>#REF!</v>
      </c>
      <c r="EQ7" t="e">
        <f>AND(#REF!,"AAAAAH3jTZI=")</f>
        <v>#REF!</v>
      </c>
      <c r="ER7" t="e">
        <f>IF(#REF!,"AAAAAH3jTZM=",0)</f>
        <v>#REF!</v>
      </c>
      <c r="ES7" t="e">
        <f>AND(#REF!,"AAAAAH3jTZQ=")</f>
        <v>#REF!</v>
      </c>
      <c r="ET7" t="e">
        <f>AND(#REF!,"AAAAAH3jTZU=")</f>
        <v>#REF!</v>
      </c>
      <c r="EU7" t="e">
        <f>AND(#REF!,"AAAAAH3jTZY=")</f>
        <v>#REF!</v>
      </c>
      <c r="EV7" t="e">
        <f>AND(#REF!,"AAAAAH3jTZc=")</f>
        <v>#REF!</v>
      </c>
      <c r="EW7" t="e">
        <f>AND(#REF!,"AAAAAH3jTZg=")</f>
        <v>#REF!</v>
      </c>
      <c r="EX7" t="e">
        <f>AND(#REF!,"AAAAAH3jTZk=")</f>
        <v>#REF!</v>
      </c>
      <c r="EY7" t="e">
        <f>AND(#REF!,"AAAAAH3jTZo=")</f>
        <v>#REF!</v>
      </c>
      <c r="EZ7" t="e">
        <f>AND(#REF!,"AAAAAH3jTZs=")</f>
        <v>#REF!</v>
      </c>
      <c r="FA7" t="e">
        <f>AND(#REF!,"AAAAAH3jTZw=")</f>
        <v>#REF!</v>
      </c>
      <c r="FB7" t="e">
        <f>AND(#REF!,"AAAAAH3jTZ0=")</f>
        <v>#REF!</v>
      </c>
      <c r="FC7" t="e">
        <f>IF(#REF!,"AAAAAH3jTZ4=",0)</f>
        <v>#REF!</v>
      </c>
      <c r="FD7" t="e">
        <f>AND(#REF!,"AAAAAH3jTZ8=")</f>
        <v>#REF!</v>
      </c>
      <c r="FE7" t="e">
        <f>AND(#REF!,"AAAAAH3jTaA=")</f>
        <v>#REF!</v>
      </c>
      <c r="FF7" t="e">
        <f>AND(#REF!,"AAAAAH3jTaE=")</f>
        <v>#REF!</v>
      </c>
      <c r="FG7" t="e">
        <f>AND(#REF!,"AAAAAH3jTaI=")</f>
        <v>#REF!</v>
      </c>
      <c r="FH7" t="e">
        <f>AND(#REF!,"AAAAAH3jTaM=")</f>
        <v>#REF!</v>
      </c>
      <c r="FI7" t="e">
        <f>AND(#REF!,"AAAAAH3jTaQ=")</f>
        <v>#REF!</v>
      </c>
      <c r="FJ7" t="e">
        <f>AND(#REF!,"AAAAAH3jTaU=")</f>
        <v>#REF!</v>
      </c>
      <c r="FK7" t="e">
        <f>AND(#REF!,"AAAAAH3jTaY=")</f>
        <v>#REF!</v>
      </c>
      <c r="FL7" t="e">
        <f>AND(#REF!,"AAAAAH3jTac=")</f>
        <v>#REF!</v>
      </c>
      <c r="FM7" t="e">
        <f>AND(#REF!,"AAAAAH3jTag=")</f>
        <v>#REF!</v>
      </c>
      <c r="FN7" t="e">
        <f>IF(#REF!,"AAAAAH3jTak=",0)</f>
        <v>#REF!</v>
      </c>
      <c r="FO7" t="e">
        <f>AND(#REF!,"AAAAAH3jTao=")</f>
        <v>#REF!</v>
      </c>
      <c r="FP7" t="e">
        <f>AND(#REF!,"AAAAAH3jTas=")</f>
        <v>#REF!</v>
      </c>
      <c r="FQ7" t="e">
        <f>AND(#REF!,"AAAAAH3jTaw=")</f>
        <v>#REF!</v>
      </c>
      <c r="FR7" t="e">
        <f>AND(#REF!,"AAAAAH3jTa0=")</f>
        <v>#REF!</v>
      </c>
      <c r="FS7" t="e">
        <f>AND(#REF!,"AAAAAH3jTa4=")</f>
        <v>#REF!</v>
      </c>
      <c r="FT7" t="e">
        <f>AND(#REF!,"AAAAAH3jTa8=")</f>
        <v>#REF!</v>
      </c>
      <c r="FU7" t="e">
        <f>AND(#REF!,"AAAAAH3jTbA=")</f>
        <v>#REF!</v>
      </c>
      <c r="FV7" t="e">
        <f>AND(#REF!,"AAAAAH3jTbE=")</f>
        <v>#REF!</v>
      </c>
      <c r="FW7" t="e">
        <f>AND(#REF!,"AAAAAH3jTbI=")</f>
        <v>#REF!</v>
      </c>
      <c r="FX7" t="e">
        <f>AND(#REF!,"AAAAAH3jTbM=")</f>
        <v>#REF!</v>
      </c>
      <c r="FY7" t="e">
        <f>IF(#REF!,"AAAAAH3jTbQ=",0)</f>
        <v>#REF!</v>
      </c>
      <c r="FZ7" t="e">
        <f>AND(#REF!,"AAAAAH3jTbU=")</f>
        <v>#REF!</v>
      </c>
      <c r="GA7" t="e">
        <f>AND(#REF!,"AAAAAH3jTbY=")</f>
        <v>#REF!</v>
      </c>
      <c r="GB7" t="e">
        <f>AND(#REF!,"AAAAAH3jTbc=")</f>
        <v>#REF!</v>
      </c>
      <c r="GC7" t="e">
        <f>AND(#REF!,"AAAAAH3jTbg=")</f>
        <v>#REF!</v>
      </c>
      <c r="GD7" t="e">
        <f>AND(#REF!,"AAAAAH3jTbk=")</f>
        <v>#REF!</v>
      </c>
      <c r="GE7" t="e">
        <f>AND(#REF!,"AAAAAH3jTbo=")</f>
        <v>#REF!</v>
      </c>
      <c r="GF7" t="e">
        <f>AND(#REF!,"AAAAAH3jTbs=")</f>
        <v>#REF!</v>
      </c>
      <c r="GG7" t="e">
        <f>AND(#REF!,"AAAAAH3jTbw=")</f>
        <v>#REF!</v>
      </c>
      <c r="GH7" t="e">
        <f>AND(#REF!,"AAAAAH3jTb0=")</f>
        <v>#REF!</v>
      </c>
      <c r="GI7" t="e">
        <f>AND(#REF!,"AAAAAH3jTb4=")</f>
        <v>#REF!</v>
      </c>
      <c r="GJ7" t="e">
        <f>IF(#REF!,"AAAAAH3jTb8=",0)</f>
        <v>#REF!</v>
      </c>
      <c r="GK7" t="e">
        <f>AND(#REF!,"AAAAAH3jTcA=")</f>
        <v>#REF!</v>
      </c>
      <c r="GL7" t="e">
        <f>AND(#REF!,"AAAAAH3jTcE=")</f>
        <v>#REF!</v>
      </c>
      <c r="GM7" t="e">
        <f>AND(#REF!,"AAAAAH3jTcI=")</f>
        <v>#REF!</v>
      </c>
      <c r="GN7" t="e">
        <f>AND(#REF!,"AAAAAH3jTcM=")</f>
        <v>#REF!</v>
      </c>
      <c r="GO7" t="e">
        <f>AND(#REF!,"AAAAAH3jTcQ=")</f>
        <v>#REF!</v>
      </c>
      <c r="GP7" t="e">
        <f>AND(#REF!,"AAAAAH3jTcU=")</f>
        <v>#REF!</v>
      </c>
      <c r="GQ7" t="e">
        <f>AND(#REF!,"AAAAAH3jTcY=")</f>
        <v>#REF!</v>
      </c>
      <c r="GR7" t="e">
        <f>AND(#REF!,"AAAAAH3jTcc=")</f>
        <v>#REF!</v>
      </c>
      <c r="GS7" t="e">
        <f>AND(#REF!,"AAAAAH3jTcg=")</f>
        <v>#REF!</v>
      </c>
      <c r="GT7" t="e">
        <f>AND(#REF!,"AAAAAH3jTck=")</f>
        <v>#REF!</v>
      </c>
      <c r="GU7" t="e">
        <f>IF(#REF!,"AAAAAH3jTco=",0)</f>
        <v>#REF!</v>
      </c>
      <c r="GV7" t="e">
        <f>AND(#REF!,"AAAAAH3jTcs=")</f>
        <v>#REF!</v>
      </c>
      <c r="GW7" t="e">
        <f>AND(#REF!,"AAAAAH3jTcw=")</f>
        <v>#REF!</v>
      </c>
      <c r="GX7" t="e">
        <f>AND(#REF!,"AAAAAH3jTc0=")</f>
        <v>#REF!</v>
      </c>
      <c r="GY7" t="e">
        <f>AND(#REF!,"AAAAAH3jTc4=")</f>
        <v>#REF!</v>
      </c>
      <c r="GZ7" t="e">
        <f>AND(#REF!,"AAAAAH3jTc8=")</f>
        <v>#REF!</v>
      </c>
      <c r="HA7" t="e">
        <f>AND(#REF!,"AAAAAH3jTdA=")</f>
        <v>#REF!</v>
      </c>
      <c r="HB7" t="e">
        <f>AND(#REF!,"AAAAAH3jTdE=")</f>
        <v>#REF!</v>
      </c>
      <c r="HC7" t="e">
        <f>AND(#REF!,"AAAAAH3jTdI=")</f>
        <v>#REF!</v>
      </c>
      <c r="HD7" t="e">
        <f>AND(#REF!,"AAAAAH3jTdM=")</f>
        <v>#REF!</v>
      </c>
      <c r="HE7" t="e">
        <f>AND(#REF!,"AAAAAH3jTdQ=")</f>
        <v>#REF!</v>
      </c>
      <c r="HF7" t="e">
        <f>IF(#REF!,"AAAAAH3jTdU=",0)</f>
        <v>#REF!</v>
      </c>
      <c r="HG7" t="e">
        <f>AND(#REF!,"AAAAAH3jTdY=")</f>
        <v>#REF!</v>
      </c>
      <c r="HH7" t="e">
        <f>AND(#REF!,"AAAAAH3jTdc=")</f>
        <v>#REF!</v>
      </c>
      <c r="HI7" t="e">
        <f>AND(#REF!,"AAAAAH3jTdg=")</f>
        <v>#REF!</v>
      </c>
      <c r="HJ7" t="e">
        <f>AND(#REF!,"AAAAAH3jTdk=")</f>
        <v>#REF!</v>
      </c>
      <c r="HK7" t="e">
        <f>AND(#REF!,"AAAAAH3jTdo=")</f>
        <v>#REF!</v>
      </c>
      <c r="HL7" t="e">
        <f>AND(#REF!,"AAAAAH3jTds=")</f>
        <v>#REF!</v>
      </c>
      <c r="HM7" t="e">
        <f>AND(#REF!,"AAAAAH3jTdw=")</f>
        <v>#REF!</v>
      </c>
      <c r="HN7" t="e">
        <f>AND(#REF!,"AAAAAH3jTd0=")</f>
        <v>#REF!</v>
      </c>
      <c r="HO7" t="e">
        <f>AND(#REF!,"AAAAAH3jTd4=")</f>
        <v>#REF!</v>
      </c>
      <c r="HP7" t="e">
        <f>AND(#REF!,"AAAAAH3jTd8=")</f>
        <v>#REF!</v>
      </c>
      <c r="HQ7" t="e">
        <f>IF(#REF!,"AAAAAH3jTeA=",0)</f>
        <v>#REF!</v>
      </c>
      <c r="HR7" t="e">
        <f>AND(#REF!,"AAAAAH3jTeE=")</f>
        <v>#REF!</v>
      </c>
      <c r="HS7" t="e">
        <f>AND(#REF!,"AAAAAH3jTeI=")</f>
        <v>#REF!</v>
      </c>
      <c r="HT7" t="e">
        <f>AND(#REF!,"AAAAAH3jTeM=")</f>
        <v>#REF!</v>
      </c>
      <c r="HU7" t="e">
        <f>AND(#REF!,"AAAAAH3jTeQ=")</f>
        <v>#REF!</v>
      </c>
      <c r="HV7" t="e">
        <f>AND(#REF!,"AAAAAH3jTeU=")</f>
        <v>#REF!</v>
      </c>
      <c r="HW7" t="e">
        <f>AND(#REF!,"AAAAAH3jTeY=")</f>
        <v>#REF!</v>
      </c>
      <c r="HX7" t="e">
        <f>AND(#REF!,"AAAAAH3jTec=")</f>
        <v>#REF!</v>
      </c>
      <c r="HY7" t="e">
        <f>AND(#REF!,"AAAAAH3jTeg=")</f>
        <v>#REF!</v>
      </c>
      <c r="HZ7" t="e">
        <f>AND(#REF!,"AAAAAH3jTek=")</f>
        <v>#REF!</v>
      </c>
      <c r="IA7" t="e">
        <f>AND(#REF!,"AAAAAH3jTeo=")</f>
        <v>#REF!</v>
      </c>
      <c r="IB7" t="e">
        <f>IF(#REF!,"AAAAAH3jTes=",0)</f>
        <v>#REF!</v>
      </c>
      <c r="IC7" t="e">
        <f>AND(#REF!,"AAAAAH3jTew=")</f>
        <v>#REF!</v>
      </c>
      <c r="ID7" t="e">
        <f>AND(#REF!,"AAAAAH3jTe0=")</f>
        <v>#REF!</v>
      </c>
      <c r="IE7" t="e">
        <f>AND(#REF!,"AAAAAH3jTe4=")</f>
        <v>#REF!</v>
      </c>
      <c r="IF7" t="e">
        <f>AND(#REF!,"AAAAAH3jTe8=")</f>
        <v>#REF!</v>
      </c>
      <c r="IG7" t="e">
        <f>AND(#REF!,"AAAAAH3jTfA=")</f>
        <v>#REF!</v>
      </c>
      <c r="IH7" t="e">
        <f>AND(#REF!,"AAAAAH3jTfE=")</f>
        <v>#REF!</v>
      </c>
      <c r="II7" t="e">
        <f>AND(#REF!,"AAAAAH3jTfI=")</f>
        <v>#REF!</v>
      </c>
      <c r="IJ7" t="e">
        <f>AND(#REF!,"AAAAAH3jTfM=")</f>
        <v>#REF!</v>
      </c>
      <c r="IK7" t="e">
        <f>AND(#REF!,"AAAAAH3jTfQ=")</f>
        <v>#REF!</v>
      </c>
      <c r="IL7" t="e">
        <f>AND(#REF!,"AAAAAH3jTfU=")</f>
        <v>#REF!</v>
      </c>
      <c r="IM7" t="e">
        <f>IF(#REF!,"AAAAAH3jTfY=",0)</f>
        <v>#REF!</v>
      </c>
      <c r="IN7" t="e">
        <f>AND(#REF!,"AAAAAH3jTfc=")</f>
        <v>#REF!</v>
      </c>
      <c r="IO7" t="e">
        <f>AND(#REF!,"AAAAAH3jTfg=")</f>
        <v>#REF!</v>
      </c>
      <c r="IP7" t="e">
        <f>AND(#REF!,"AAAAAH3jTfk=")</f>
        <v>#REF!</v>
      </c>
      <c r="IQ7" t="e">
        <f>AND(#REF!,"AAAAAH3jTfo=")</f>
        <v>#REF!</v>
      </c>
      <c r="IR7" t="e">
        <f>AND(#REF!,"AAAAAH3jTfs=")</f>
        <v>#REF!</v>
      </c>
      <c r="IS7" t="e">
        <f>AND(#REF!,"AAAAAH3jTfw=")</f>
        <v>#REF!</v>
      </c>
      <c r="IT7" t="e">
        <f>AND(#REF!,"AAAAAH3jTf0=")</f>
        <v>#REF!</v>
      </c>
      <c r="IU7" t="e">
        <f>AND(#REF!,"AAAAAH3jTf4=")</f>
        <v>#REF!</v>
      </c>
      <c r="IV7" t="e">
        <f>AND(#REF!,"AAAAAH3jTf8=")</f>
        <v>#REF!</v>
      </c>
    </row>
    <row r="8" spans="1:256" x14ac:dyDescent="0.25">
      <c r="A8" t="e">
        <f>AND(#REF!,"AAAAAD///gA=")</f>
        <v>#REF!</v>
      </c>
      <c r="B8" t="e">
        <f>IF(#REF!,"AAAAAD///gE=",0)</f>
        <v>#REF!</v>
      </c>
      <c r="C8" t="e">
        <f>AND(#REF!,"AAAAAD///gI=")</f>
        <v>#REF!</v>
      </c>
      <c r="D8" t="e">
        <f>AND(#REF!,"AAAAAD///gM=")</f>
        <v>#REF!</v>
      </c>
      <c r="E8" t="e">
        <f>AND(#REF!,"AAAAAD///gQ=")</f>
        <v>#REF!</v>
      </c>
      <c r="F8" t="e">
        <f>AND(#REF!,"AAAAAD///gU=")</f>
        <v>#REF!</v>
      </c>
      <c r="G8" t="e">
        <f>AND(#REF!,"AAAAAD///gY=")</f>
        <v>#REF!</v>
      </c>
      <c r="H8" t="e">
        <f>AND(#REF!,"AAAAAD///gc=")</f>
        <v>#REF!</v>
      </c>
      <c r="I8" t="e">
        <f>AND(#REF!,"AAAAAD///gg=")</f>
        <v>#REF!</v>
      </c>
      <c r="J8" t="e">
        <f>AND(#REF!,"AAAAAD///gk=")</f>
        <v>#REF!</v>
      </c>
      <c r="K8" t="e">
        <f>AND(#REF!,"AAAAAD///go=")</f>
        <v>#REF!</v>
      </c>
      <c r="L8" t="e">
        <f>AND(#REF!,"AAAAAD///gs=")</f>
        <v>#REF!</v>
      </c>
      <c r="M8" t="e">
        <f>IF(#REF!,"AAAAAD///gw=",0)</f>
        <v>#REF!</v>
      </c>
      <c r="N8" t="e">
        <f>AND(#REF!,"AAAAAD///g0=")</f>
        <v>#REF!</v>
      </c>
      <c r="O8" t="e">
        <f>AND(#REF!,"AAAAAD///g4=")</f>
        <v>#REF!</v>
      </c>
      <c r="P8" t="e">
        <f>AND(#REF!,"AAAAAD///g8=")</f>
        <v>#REF!</v>
      </c>
      <c r="Q8" t="e">
        <f>AND(#REF!,"AAAAAD///hA=")</f>
        <v>#REF!</v>
      </c>
      <c r="R8" t="e">
        <f>AND(#REF!,"AAAAAD///hE=")</f>
        <v>#REF!</v>
      </c>
      <c r="S8" t="e">
        <f>AND(#REF!,"AAAAAD///hI=")</f>
        <v>#REF!</v>
      </c>
      <c r="T8" t="e">
        <f>AND(#REF!,"AAAAAD///hM=")</f>
        <v>#REF!</v>
      </c>
      <c r="U8" t="e">
        <f>AND(#REF!,"AAAAAD///hQ=")</f>
        <v>#REF!</v>
      </c>
      <c r="V8" t="e">
        <f>AND(#REF!,"AAAAAD///hU=")</f>
        <v>#REF!</v>
      </c>
      <c r="W8" t="e">
        <f>AND(#REF!,"AAAAAD///hY=")</f>
        <v>#REF!</v>
      </c>
      <c r="X8" t="e">
        <f>IF(#REF!,"AAAAAD///hc=",0)</f>
        <v>#REF!</v>
      </c>
      <c r="Y8" t="e">
        <f>AND(#REF!,"AAAAAD///hg=")</f>
        <v>#REF!</v>
      </c>
      <c r="Z8" t="e">
        <f>AND(#REF!,"AAAAAD///hk=")</f>
        <v>#REF!</v>
      </c>
      <c r="AA8" t="e">
        <f>AND(#REF!,"AAAAAD///ho=")</f>
        <v>#REF!</v>
      </c>
      <c r="AB8" t="e">
        <f>AND(#REF!,"AAAAAD///hs=")</f>
        <v>#REF!</v>
      </c>
      <c r="AC8" t="e">
        <f>AND(#REF!,"AAAAAD///hw=")</f>
        <v>#REF!</v>
      </c>
      <c r="AD8" t="e">
        <f>AND(#REF!,"AAAAAD///h0=")</f>
        <v>#REF!</v>
      </c>
      <c r="AE8" t="e">
        <f>AND(#REF!,"AAAAAD///h4=")</f>
        <v>#REF!</v>
      </c>
      <c r="AF8" t="e">
        <f>AND(#REF!,"AAAAAD///h8=")</f>
        <v>#REF!</v>
      </c>
      <c r="AG8" t="e">
        <f>AND(#REF!,"AAAAAD///iA=")</f>
        <v>#REF!</v>
      </c>
      <c r="AH8" t="e">
        <f>AND(#REF!,"AAAAAD///iE=")</f>
        <v>#REF!</v>
      </c>
      <c r="AI8" t="e">
        <f>IF(#REF!,"AAAAAD///iI=",0)</f>
        <v>#REF!</v>
      </c>
      <c r="AJ8" t="e">
        <f>AND(#REF!,"AAAAAD///iM=")</f>
        <v>#REF!</v>
      </c>
      <c r="AK8" t="e">
        <f>AND(#REF!,"AAAAAD///iQ=")</f>
        <v>#REF!</v>
      </c>
      <c r="AL8" t="e">
        <f>AND(#REF!,"AAAAAD///iU=")</f>
        <v>#REF!</v>
      </c>
      <c r="AM8" t="e">
        <f>AND(#REF!,"AAAAAD///iY=")</f>
        <v>#REF!</v>
      </c>
      <c r="AN8" t="e">
        <f>AND(#REF!,"AAAAAD///ic=")</f>
        <v>#REF!</v>
      </c>
      <c r="AO8" t="e">
        <f>AND(#REF!,"AAAAAD///ig=")</f>
        <v>#REF!</v>
      </c>
      <c r="AP8" t="e">
        <f>AND(#REF!,"AAAAAD///ik=")</f>
        <v>#REF!</v>
      </c>
      <c r="AQ8" t="e">
        <f>AND(#REF!,"AAAAAD///io=")</f>
        <v>#REF!</v>
      </c>
      <c r="AR8" t="e">
        <f>AND(#REF!,"AAAAAD///is=")</f>
        <v>#REF!</v>
      </c>
      <c r="AS8" t="e">
        <f>AND(#REF!,"AAAAAD///iw=")</f>
        <v>#REF!</v>
      </c>
      <c r="AT8" t="e">
        <f>IF(#REF!,"AAAAAD///i0=",0)</f>
        <v>#REF!</v>
      </c>
      <c r="AU8" t="e">
        <f>AND(#REF!,"AAAAAD///i4=")</f>
        <v>#REF!</v>
      </c>
      <c r="AV8" t="e">
        <f>AND(#REF!,"AAAAAD///i8=")</f>
        <v>#REF!</v>
      </c>
      <c r="AW8" t="e">
        <f>AND(#REF!,"AAAAAD///jA=")</f>
        <v>#REF!</v>
      </c>
      <c r="AX8" t="e">
        <f>AND(#REF!,"AAAAAD///jE=")</f>
        <v>#REF!</v>
      </c>
      <c r="AY8" t="e">
        <f>AND(#REF!,"AAAAAD///jI=")</f>
        <v>#REF!</v>
      </c>
      <c r="AZ8" t="e">
        <f>AND(#REF!,"AAAAAD///jM=")</f>
        <v>#REF!</v>
      </c>
      <c r="BA8" t="e">
        <f>AND(#REF!,"AAAAAD///jQ=")</f>
        <v>#REF!</v>
      </c>
      <c r="BB8" t="e">
        <f>AND(#REF!,"AAAAAD///jU=")</f>
        <v>#REF!</v>
      </c>
      <c r="BC8" t="e">
        <f>AND(#REF!,"AAAAAD///jY=")</f>
        <v>#REF!</v>
      </c>
      <c r="BD8" t="e">
        <f>AND(#REF!,"AAAAAD///jc=")</f>
        <v>#REF!</v>
      </c>
      <c r="BE8" t="e">
        <f>IF(#REF!,"AAAAAD///jg=",0)</f>
        <v>#REF!</v>
      </c>
      <c r="BF8" t="e">
        <f>AND(#REF!,"AAAAAD///jk=")</f>
        <v>#REF!</v>
      </c>
      <c r="BG8" t="e">
        <f>AND(#REF!,"AAAAAD///jo=")</f>
        <v>#REF!</v>
      </c>
      <c r="BH8" t="e">
        <f>AND(#REF!,"AAAAAD///js=")</f>
        <v>#REF!</v>
      </c>
      <c r="BI8" t="e">
        <f>AND(#REF!,"AAAAAD///jw=")</f>
        <v>#REF!</v>
      </c>
      <c r="BJ8" t="e">
        <f>AND(#REF!,"AAAAAD///j0=")</f>
        <v>#REF!</v>
      </c>
      <c r="BK8" t="e">
        <f>AND(#REF!,"AAAAAD///j4=")</f>
        <v>#REF!</v>
      </c>
      <c r="BL8" t="e">
        <f>AND(#REF!,"AAAAAD///j8=")</f>
        <v>#REF!</v>
      </c>
      <c r="BM8" t="e">
        <f>AND(#REF!,"AAAAAD///kA=")</f>
        <v>#REF!</v>
      </c>
      <c r="BN8" t="e">
        <f>AND(#REF!,"AAAAAD///kE=")</f>
        <v>#REF!</v>
      </c>
      <c r="BO8" t="e">
        <f>AND(#REF!,"AAAAAD///kI=")</f>
        <v>#REF!</v>
      </c>
      <c r="BP8" t="e">
        <f>IF(#REF!,"AAAAAD///kM=",0)</f>
        <v>#REF!</v>
      </c>
      <c r="BQ8" t="e">
        <f>AND(#REF!,"AAAAAD///kQ=")</f>
        <v>#REF!</v>
      </c>
      <c r="BR8" t="e">
        <f>AND(#REF!,"AAAAAD///kU=")</f>
        <v>#REF!</v>
      </c>
      <c r="BS8" t="e">
        <f>AND(#REF!,"AAAAAD///kY=")</f>
        <v>#REF!</v>
      </c>
      <c r="BT8" t="e">
        <f>AND(#REF!,"AAAAAD///kc=")</f>
        <v>#REF!</v>
      </c>
      <c r="BU8" t="e">
        <f>AND(#REF!,"AAAAAD///kg=")</f>
        <v>#REF!</v>
      </c>
      <c r="BV8" t="e">
        <f>AND(#REF!,"AAAAAD///kk=")</f>
        <v>#REF!</v>
      </c>
      <c r="BW8" t="e">
        <f>AND(#REF!,"AAAAAD///ko=")</f>
        <v>#REF!</v>
      </c>
      <c r="BX8" t="e">
        <f>AND(#REF!,"AAAAAD///ks=")</f>
        <v>#REF!</v>
      </c>
      <c r="BY8" t="e">
        <f>AND(#REF!,"AAAAAD///kw=")</f>
        <v>#REF!</v>
      </c>
      <c r="BZ8" t="e">
        <f>AND(#REF!,"AAAAAD///k0=")</f>
        <v>#REF!</v>
      </c>
      <c r="CA8" t="e">
        <f>IF(#REF!,"AAAAAD///k4=",0)</f>
        <v>#REF!</v>
      </c>
      <c r="CB8" t="e">
        <f>AND(#REF!,"AAAAAD///k8=")</f>
        <v>#REF!</v>
      </c>
      <c r="CC8" t="e">
        <f>AND(#REF!,"AAAAAD///lA=")</f>
        <v>#REF!</v>
      </c>
      <c r="CD8" t="e">
        <f>AND(#REF!,"AAAAAD///lE=")</f>
        <v>#REF!</v>
      </c>
      <c r="CE8" t="e">
        <f>AND(#REF!,"AAAAAD///lI=")</f>
        <v>#REF!</v>
      </c>
      <c r="CF8" t="e">
        <f>AND(#REF!,"AAAAAD///lM=")</f>
        <v>#REF!</v>
      </c>
      <c r="CG8" t="e">
        <f>AND(#REF!,"AAAAAD///lQ=")</f>
        <v>#REF!</v>
      </c>
      <c r="CH8" t="e">
        <f>AND(#REF!,"AAAAAD///lU=")</f>
        <v>#REF!</v>
      </c>
      <c r="CI8" t="e">
        <f>AND(#REF!,"AAAAAD///lY=")</f>
        <v>#REF!</v>
      </c>
      <c r="CJ8" t="e">
        <f>AND(#REF!,"AAAAAD///lc=")</f>
        <v>#REF!</v>
      </c>
      <c r="CK8" t="e">
        <f>AND(#REF!,"AAAAAD///lg=")</f>
        <v>#REF!</v>
      </c>
      <c r="CL8" t="e">
        <f>IF(#REF!,"AAAAAD///lk=",0)</f>
        <v>#REF!</v>
      </c>
      <c r="CM8" t="e">
        <f>AND(#REF!,"AAAAAD///lo=")</f>
        <v>#REF!</v>
      </c>
      <c r="CN8" t="e">
        <f>AND(#REF!,"AAAAAD///ls=")</f>
        <v>#REF!</v>
      </c>
      <c r="CO8" t="e">
        <f>AND(#REF!,"AAAAAD///lw=")</f>
        <v>#REF!</v>
      </c>
      <c r="CP8" t="e">
        <f>AND(#REF!,"AAAAAD///l0=")</f>
        <v>#REF!</v>
      </c>
      <c r="CQ8" t="e">
        <f>AND(#REF!,"AAAAAD///l4=")</f>
        <v>#REF!</v>
      </c>
      <c r="CR8" t="e">
        <f>AND(#REF!,"AAAAAD///l8=")</f>
        <v>#REF!</v>
      </c>
      <c r="CS8" t="e">
        <f>AND(#REF!,"AAAAAD///mA=")</f>
        <v>#REF!</v>
      </c>
      <c r="CT8" t="e">
        <f>AND(#REF!,"AAAAAD///mE=")</f>
        <v>#REF!</v>
      </c>
      <c r="CU8" t="e">
        <f>AND(#REF!,"AAAAAD///mI=")</f>
        <v>#REF!</v>
      </c>
      <c r="CV8" t="e">
        <f>AND(#REF!,"AAAAAD///mM=")</f>
        <v>#REF!</v>
      </c>
      <c r="CW8" t="e">
        <f>IF(#REF!,"AAAAAD///mQ=",0)</f>
        <v>#REF!</v>
      </c>
      <c r="CX8" t="e">
        <f>AND(#REF!,"AAAAAD///mU=")</f>
        <v>#REF!</v>
      </c>
      <c r="CY8" t="e">
        <f>AND(#REF!,"AAAAAD///mY=")</f>
        <v>#REF!</v>
      </c>
      <c r="CZ8" t="e">
        <f>AND(#REF!,"AAAAAD///mc=")</f>
        <v>#REF!</v>
      </c>
      <c r="DA8" t="e">
        <f>AND(#REF!,"AAAAAD///mg=")</f>
        <v>#REF!</v>
      </c>
      <c r="DB8" t="e">
        <f>AND(#REF!,"AAAAAD///mk=")</f>
        <v>#REF!</v>
      </c>
      <c r="DC8" t="e">
        <f>AND(#REF!,"AAAAAD///mo=")</f>
        <v>#REF!</v>
      </c>
      <c r="DD8" t="e">
        <f>AND(#REF!,"AAAAAD///ms=")</f>
        <v>#REF!</v>
      </c>
      <c r="DE8" t="e">
        <f>AND(#REF!,"AAAAAD///mw=")</f>
        <v>#REF!</v>
      </c>
      <c r="DF8" t="e">
        <f>AND(#REF!,"AAAAAD///m0=")</f>
        <v>#REF!</v>
      </c>
      <c r="DG8" t="e">
        <f>AND(#REF!,"AAAAAD///m4=")</f>
        <v>#REF!</v>
      </c>
      <c r="DH8" t="e">
        <f>IF(#REF!,"AAAAAD///m8=",0)</f>
        <v>#REF!</v>
      </c>
      <c r="DI8" t="e">
        <f>AND(#REF!,"AAAAAD///nA=")</f>
        <v>#REF!</v>
      </c>
      <c r="DJ8" t="e">
        <f>AND(#REF!,"AAAAAD///nE=")</f>
        <v>#REF!</v>
      </c>
      <c r="DK8" t="e">
        <f>AND(#REF!,"AAAAAD///nI=")</f>
        <v>#REF!</v>
      </c>
      <c r="DL8" t="e">
        <f>AND(#REF!,"AAAAAD///nM=")</f>
        <v>#REF!</v>
      </c>
      <c r="DM8" t="e">
        <f>AND(#REF!,"AAAAAD///nQ=")</f>
        <v>#REF!</v>
      </c>
      <c r="DN8" t="e">
        <f>AND(#REF!,"AAAAAD///nU=")</f>
        <v>#REF!</v>
      </c>
      <c r="DO8" t="e">
        <f>AND(#REF!,"AAAAAD///nY=")</f>
        <v>#REF!</v>
      </c>
      <c r="DP8" t="e">
        <f>AND(#REF!,"AAAAAD///nc=")</f>
        <v>#REF!</v>
      </c>
      <c r="DQ8" t="e">
        <f>AND(#REF!,"AAAAAD///ng=")</f>
        <v>#REF!</v>
      </c>
      <c r="DR8" t="e">
        <f>AND(#REF!,"AAAAAD///nk=")</f>
        <v>#REF!</v>
      </c>
      <c r="DS8" t="e">
        <f>IF(#REF!,"AAAAAD///no=",0)</f>
        <v>#REF!</v>
      </c>
      <c r="DT8" t="e">
        <f>AND(#REF!,"AAAAAD///ns=")</f>
        <v>#REF!</v>
      </c>
      <c r="DU8" t="e">
        <f>AND(#REF!,"AAAAAD///nw=")</f>
        <v>#REF!</v>
      </c>
      <c r="DV8" t="e">
        <f>AND(#REF!,"AAAAAD///n0=")</f>
        <v>#REF!</v>
      </c>
      <c r="DW8" t="e">
        <f>AND(#REF!,"AAAAAD///n4=")</f>
        <v>#REF!</v>
      </c>
      <c r="DX8" t="e">
        <f>AND(#REF!,"AAAAAD///n8=")</f>
        <v>#REF!</v>
      </c>
      <c r="DY8" t="e">
        <f>AND(#REF!,"AAAAAD///oA=")</f>
        <v>#REF!</v>
      </c>
      <c r="DZ8" t="e">
        <f>AND(#REF!,"AAAAAD///oE=")</f>
        <v>#REF!</v>
      </c>
      <c r="EA8" t="e">
        <f>AND(#REF!,"AAAAAD///oI=")</f>
        <v>#REF!</v>
      </c>
      <c r="EB8" t="e">
        <f>AND(#REF!,"AAAAAD///oM=")</f>
        <v>#REF!</v>
      </c>
      <c r="EC8" t="e">
        <f>AND(#REF!,"AAAAAD///oQ=")</f>
        <v>#REF!</v>
      </c>
      <c r="ED8" t="e">
        <f>IF(#REF!,"AAAAAD///oU=",0)</f>
        <v>#REF!</v>
      </c>
      <c r="EE8" t="e">
        <f>AND(#REF!,"AAAAAD///oY=")</f>
        <v>#REF!</v>
      </c>
      <c r="EF8" t="e">
        <f>AND(#REF!,"AAAAAD///oc=")</f>
        <v>#REF!</v>
      </c>
      <c r="EG8" t="e">
        <f>AND(#REF!,"AAAAAD///og=")</f>
        <v>#REF!</v>
      </c>
      <c r="EH8" t="e">
        <f>AND(#REF!,"AAAAAD///ok=")</f>
        <v>#REF!</v>
      </c>
      <c r="EI8" t="e">
        <f>AND(#REF!,"AAAAAD///oo=")</f>
        <v>#REF!</v>
      </c>
      <c r="EJ8" t="e">
        <f>AND(#REF!,"AAAAAD///os=")</f>
        <v>#REF!</v>
      </c>
      <c r="EK8" t="e">
        <f>AND(#REF!,"AAAAAD///ow=")</f>
        <v>#REF!</v>
      </c>
      <c r="EL8" t="e">
        <f>AND(#REF!,"AAAAAD///o0=")</f>
        <v>#REF!</v>
      </c>
      <c r="EM8" t="e">
        <f>AND(#REF!,"AAAAAD///o4=")</f>
        <v>#REF!</v>
      </c>
      <c r="EN8" t="e">
        <f>AND(#REF!,"AAAAAD///o8=")</f>
        <v>#REF!</v>
      </c>
      <c r="EO8" t="e">
        <f>IF(#REF!,"AAAAAD///pA=",0)</f>
        <v>#REF!</v>
      </c>
      <c r="EP8" t="e">
        <f>AND(#REF!,"AAAAAD///pE=")</f>
        <v>#REF!</v>
      </c>
      <c r="EQ8" t="e">
        <f>AND(#REF!,"AAAAAD///pI=")</f>
        <v>#REF!</v>
      </c>
      <c r="ER8" t="e">
        <f>AND(#REF!,"AAAAAD///pM=")</f>
        <v>#REF!</v>
      </c>
      <c r="ES8" t="e">
        <f>AND(#REF!,"AAAAAD///pQ=")</f>
        <v>#REF!</v>
      </c>
      <c r="ET8" t="e">
        <f>AND(#REF!,"AAAAAD///pU=")</f>
        <v>#REF!</v>
      </c>
      <c r="EU8" t="e">
        <f>AND(#REF!,"AAAAAD///pY=")</f>
        <v>#REF!</v>
      </c>
      <c r="EV8" t="e">
        <f>AND(#REF!,"AAAAAD///pc=")</f>
        <v>#REF!</v>
      </c>
      <c r="EW8" t="e">
        <f>AND(#REF!,"AAAAAD///pg=")</f>
        <v>#REF!</v>
      </c>
      <c r="EX8" t="e">
        <f>AND(#REF!,"AAAAAD///pk=")</f>
        <v>#REF!</v>
      </c>
      <c r="EY8" t="e">
        <f>AND(#REF!,"AAAAAD///po=")</f>
        <v>#REF!</v>
      </c>
      <c r="EZ8" t="e">
        <f>IF(#REF!,"AAAAAD///ps=",0)</f>
        <v>#REF!</v>
      </c>
      <c r="FA8" t="e">
        <f>AND(#REF!,"AAAAAD///pw=")</f>
        <v>#REF!</v>
      </c>
      <c r="FB8" t="e">
        <f>AND(#REF!,"AAAAAD///p0=")</f>
        <v>#REF!</v>
      </c>
      <c r="FC8" t="e">
        <f>AND(#REF!,"AAAAAD///p4=")</f>
        <v>#REF!</v>
      </c>
      <c r="FD8" t="e">
        <f>AND(#REF!,"AAAAAD///p8=")</f>
        <v>#REF!</v>
      </c>
      <c r="FE8" t="e">
        <f>AND(#REF!,"AAAAAD///qA=")</f>
        <v>#REF!</v>
      </c>
      <c r="FF8" t="e">
        <f>AND(#REF!,"AAAAAD///qE=")</f>
        <v>#REF!</v>
      </c>
      <c r="FG8" t="e">
        <f>AND(#REF!,"AAAAAD///qI=")</f>
        <v>#REF!</v>
      </c>
      <c r="FH8" t="e">
        <f>AND(#REF!,"AAAAAD///qM=")</f>
        <v>#REF!</v>
      </c>
      <c r="FI8" t="e">
        <f>AND(#REF!,"AAAAAD///qQ=")</f>
        <v>#REF!</v>
      </c>
      <c r="FJ8" t="e">
        <f>AND(#REF!,"AAAAAD///qU=")</f>
        <v>#REF!</v>
      </c>
      <c r="FK8" t="e">
        <f>IF(#REF!,"AAAAAD///qY=",0)</f>
        <v>#REF!</v>
      </c>
      <c r="FL8" t="e">
        <f>AND(#REF!,"AAAAAD///qc=")</f>
        <v>#REF!</v>
      </c>
      <c r="FM8" t="e">
        <f>AND(#REF!,"AAAAAD///qg=")</f>
        <v>#REF!</v>
      </c>
      <c r="FN8" t="e">
        <f>AND(#REF!,"AAAAAD///qk=")</f>
        <v>#REF!</v>
      </c>
      <c r="FO8" t="e">
        <f>AND(#REF!,"AAAAAD///qo=")</f>
        <v>#REF!</v>
      </c>
      <c r="FP8" t="e">
        <f>AND(#REF!,"AAAAAD///qs=")</f>
        <v>#REF!</v>
      </c>
      <c r="FQ8" t="e">
        <f>AND(#REF!,"AAAAAD///qw=")</f>
        <v>#REF!</v>
      </c>
      <c r="FR8" t="e">
        <f>AND(#REF!,"AAAAAD///q0=")</f>
        <v>#REF!</v>
      </c>
      <c r="FS8" t="e">
        <f>AND(#REF!,"AAAAAD///q4=")</f>
        <v>#REF!</v>
      </c>
      <c r="FT8" t="e">
        <f>AND(#REF!,"AAAAAD///q8=")</f>
        <v>#REF!</v>
      </c>
      <c r="FU8" t="e">
        <f>AND(#REF!,"AAAAAD///rA=")</f>
        <v>#REF!</v>
      </c>
      <c r="FV8" t="e">
        <f>IF(#REF!,"AAAAAD///rE=",0)</f>
        <v>#REF!</v>
      </c>
      <c r="FW8" t="e">
        <f>AND(#REF!,"AAAAAD///rI=")</f>
        <v>#REF!</v>
      </c>
      <c r="FX8" t="e">
        <f>AND(#REF!,"AAAAAD///rM=")</f>
        <v>#REF!</v>
      </c>
      <c r="FY8" t="e">
        <f>AND(#REF!,"AAAAAD///rQ=")</f>
        <v>#REF!</v>
      </c>
      <c r="FZ8" t="e">
        <f>AND(#REF!,"AAAAAD///rU=")</f>
        <v>#REF!</v>
      </c>
      <c r="GA8" t="e">
        <f>AND(#REF!,"AAAAAD///rY=")</f>
        <v>#REF!</v>
      </c>
      <c r="GB8" t="e">
        <f>AND(#REF!,"AAAAAD///rc=")</f>
        <v>#REF!</v>
      </c>
      <c r="GC8" t="e">
        <f>AND(#REF!,"AAAAAD///rg=")</f>
        <v>#REF!</v>
      </c>
      <c r="GD8" t="e">
        <f>AND(#REF!,"AAAAAD///rk=")</f>
        <v>#REF!</v>
      </c>
      <c r="GE8" t="e">
        <f>AND(#REF!,"AAAAAD///ro=")</f>
        <v>#REF!</v>
      </c>
      <c r="GF8" t="e">
        <f>AND(#REF!,"AAAAAD///rs=")</f>
        <v>#REF!</v>
      </c>
      <c r="GG8" t="e">
        <f>IF(#REF!,"AAAAAD///rw=",0)</f>
        <v>#REF!</v>
      </c>
      <c r="GH8" t="e">
        <f>AND(#REF!,"AAAAAD///r0=")</f>
        <v>#REF!</v>
      </c>
      <c r="GI8" t="e">
        <f>AND(#REF!,"AAAAAD///r4=")</f>
        <v>#REF!</v>
      </c>
      <c r="GJ8" t="e">
        <f>AND(#REF!,"AAAAAD///r8=")</f>
        <v>#REF!</v>
      </c>
      <c r="GK8" t="e">
        <f>AND(#REF!,"AAAAAD///sA=")</f>
        <v>#REF!</v>
      </c>
      <c r="GL8" t="e">
        <f>AND(#REF!,"AAAAAD///sE=")</f>
        <v>#REF!</v>
      </c>
      <c r="GM8" t="e">
        <f>AND(#REF!,"AAAAAD///sI=")</f>
        <v>#REF!</v>
      </c>
      <c r="GN8" t="e">
        <f>AND(#REF!,"AAAAAD///sM=")</f>
        <v>#REF!</v>
      </c>
      <c r="GO8" t="e">
        <f>AND(#REF!,"AAAAAD///sQ=")</f>
        <v>#REF!</v>
      </c>
      <c r="GP8" t="e">
        <f>AND(#REF!,"AAAAAD///sU=")</f>
        <v>#REF!</v>
      </c>
      <c r="GQ8" t="e">
        <f>AND(#REF!,"AAAAAD///sY=")</f>
        <v>#REF!</v>
      </c>
      <c r="GR8" t="e">
        <f>IF(#REF!,"AAAAAD///sc=",0)</f>
        <v>#REF!</v>
      </c>
      <c r="GS8" t="e">
        <f>AND(#REF!,"AAAAAD///sg=")</f>
        <v>#REF!</v>
      </c>
      <c r="GT8" t="e">
        <f>AND(#REF!,"AAAAAD///sk=")</f>
        <v>#REF!</v>
      </c>
      <c r="GU8" t="e">
        <f>AND(#REF!,"AAAAAD///so=")</f>
        <v>#REF!</v>
      </c>
      <c r="GV8" t="e">
        <f>AND(#REF!,"AAAAAD///ss=")</f>
        <v>#REF!</v>
      </c>
      <c r="GW8" t="e">
        <f>AND(#REF!,"AAAAAD///sw=")</f>
        <v>#REF!</v>
      </c>
      <c r="GX8" t="e">
        <f>AND(#REF!,"AAAAAD///s0=")</f>
        <v>#REF!</v>
      </c>
      <c r="GY8" t="e">
        <f>AND(#REF!,"AAAAAD///s4=")</f>
        <v>#REF!</v>
      </c>
      <c r="GZ8" t="e">
        <f>AND(#REF!,"AAAAAD///s8=")</f>
        <v>#REF!</v>
      </c>
      <c r="HA8" t="e">
        <f>AND(#REF!,"AAAAAD///tA=")</f>
        <v>#REF!</v>
      </c>
      <c r="HB8" t="e">
        <f>AND(#REF!,"AAAAAD///tE=")</f>
        <v>#REF!</v>
      </c>
      <c r="HC8" t="e">
        <f>IF(#REF!,"AAAAAD///tI=",0)</f>
        <v>#REF!</v>
      </c>
      <c r="HD8" t="e">
        <f>AND(#REF!,"AAAAAD///tM=")</f>
        <v>#REF!</v>
      </c>
      <c r="HE8" t="e">
        <f>AND(#REF!,"AAAAAD///tQ=")</f>
        <v>#REF!</v>
      </c>
      <c r="HF8" t="e">
        <f>AND(#REF!,"AAAAAD///tU=")</f>
        <v>#REF!</v>
      </c>
      <c r="HG8" t="e">
        <f>AND(#REF!,"AAAAAD///tY=")</f>
        <v>#REF!</v>
      </c>
      <c r="HH8" t="e">
        <f>AND(#REF!,"AAAAAD///tc=")</f>
        <v>#REF!</v>
      </c>
      <c r="HI8" t="e">
        <f>AND(#REF!,"AAAAAD///tg=")</f>
        <v>#REF!</v>
      </c>
      <c r="HJ8" t="e">
        <f>AND(#REF!,"AAAAAD///tk=")</f>
        <v>#REF!</v>
      </c>
      <c r="HK8" t="e">
        <f>AND(#REF!,"AAAAAD///to=")</f>
        <v>#REF!</v>
      </c>
      <c r="HL8" t="e">
        <f>AND(#REF!,"AAAAAD///ts=")</f>
        <v>#REF!</v>
      </c>
      <c r="HM8" t="e">
        <f>AND(#REF!,"AAAAAD///tw=")</f>
        <v>#REF!</v>
      </c>
      <c r="HN8" t="e">
        <f>IF(#REF!,"AAAAAD///t0=",0)</f>
        <v>#REF!</v>
      </c>
      <c r="HO8" t="e">
        <f>AND(#REF!,"AAAAAD///t4=")</f>
        <v>#REF!</v>
      </c>
      <c r="HP8" t="e">
        <f>AND(#REF!,"AAAAAD///t8=")</f>
        <v>#REF!</v>
      </c>
      <c r="HQ8" t="e">
        <f>AND(#REF!,"AAAAAD///uA=")</f>
        <v>#REF!</v>
      </c>
      <c r="HR8" t="e">
        <f>AND(#REF!,"AAAAAD///uE=")</f>
        <v>#REF!</v>
      </c>
      <c r="HS8" t="e">
        <f>AND(#REF!,"AAAAAD///uI=")</f>
        <v>#REF!</v>
      </c>
      <c r="HT8" t="e">
        <f>AND(#REF!,"AAAAAD///uM=")</f>
        <v>#REF!</v>
      </c>
      <c r="HU8" t="e">
        <f>AND(#REF!,"AAAAAD///uQ=")</f>
        <v>#REF!</v>
      </c>
      <c r="HV8" t="e">
        <f>AND(#REF!,"AAAAAD///uU=")</f>
        <v>#REF!</v>
      </c>
      <c r="HW8" t="e">
        <f>AND(#REF!,"AAAAAD///uY=")</f>
        <v>#REF!</v>
      </c>
      <c r="HX8" t="e">
        <f>AND(#REF!,"AAAAAD///uc=")</f>
        <v>#REF!</v>
      </c>
      <c r="HY8" t="e">
        <f>IF(#REF!,"AAAAAD///ug=",0)</f>
        <v>#REF!</v>
      </c>
      <c r="HZ8" t="e">
        <f>AND(#REF!,"AAAAAD///uk=")</f>
        <v>#REF!</v>
      </c>
      <c r="IA8" t="e">
        <f>AND(#REF!,"AAAAAD///uo=")</f>
        <v>#REF!</v>
      </c>
      <c r="IB8" t="e">
        <f>AND(#REF!,"AAAAAD///us=")</f>
        <v>#REF!</v>
      </c>
      <c r="IC8" t="e">
        <f>AND(#REF!,"AAAAAD///uw=")</f>
        <v>#REF!</v>
      </c>
      <c r="ID8" t="e">
        <f>AND(#REF!,"AAAAAD///u0=")</f>
        <v>#REF!</v>
      </c>
      <c r="IE8" t="e">
        <f>AND(#REF!,"AAAAAD///u4=")</f>
        <v>#REF!</v>
      </c>
      <c r="IF8" t="e">
        <f>AND(#REF!,"AAAAAD///u8=")</f>
        <v>#REF!</v>
      </c>
      <c r="IG8" t="e">
        <f>AND(#REF!,"AAAAAD///vA=")</f>
        <v>#REF!</v>
      </c>
      <c r="IH8" t="e">
        <f>AND(#REF!,"AAAAAD///vE=")</f>
        <v>#REF!</v>
      </c>
      <c r="II8" t="e">
        <f>AND(#REF!,"AAAAAD///vI=")</f>
        <v>#REF!</v>
      </c>
      <c r="IJ8" t="e">
        <f>IF(#REF!,"AAAAAD///vM=",0)</f>
        <v>#REF!</v>
      </c>
      <c r="IK8" t="e">
        <f>AND(#REF!,"AAAAAD///vQ=")</f>
        <v>#REF!</v>
      </c>
      <c r="IL8" t="e">
        <f>AND(#REF!,"AAAAAD///vU=")</f>
        <v>#REF!</v>
      </c>
      <c r="IM8" t="e">
        <f>AND(#REF!,"AAAAAD///vY=")</f>
        <v>#REF!</v>
      </c>
      <c r="IN8" t="e">
        <f>AND(#REF!,"AAAAAD///vc=")</f>
        <v>#REF!</v>
      </c>
      <c r="IO8" t="e">
        <f>AND(#REF!,"AAAAAD///vg=")</f>
        <v>#REF!</v>
      </c>
      <c r="IP8" t="e">
        <f>AND(#REF!,"AAAAAD///vk=")</f>
        <v>#REF!</v>
      </c>
      <c r="IQ8" t="e">
        <f>AND(#REF!,"AAAAAD///vo=")</f>
        <v>#REF!</v>
      </c>
      <c r="IR8" t="e">
        <f>AND(#REF!,"AAAAAD///vs=")</f>
        <v>#REF!</v>
      </c>
      <c r="IS8" t="e">
        <f>AND(#REF!,"AAAAAD///vw=")</f>
        <v>#REF!</v>
      </c>
      <c r="IT8" t="e">
        <f>AND(#REF!,"AAAAAD///v0=")</f>
        <v>#REF!</v>
      </c>
      <c r="IU8" t="e">
        <f>IF(#REF!,"AAAAAD///v4=",0)</f>
        <v>#REF!</v>
      </c>
      <c r="IV8" t="e">
        <f>AND(#REF!,"AAAAAD///v8=")</f>
        <v>#REF!</v>
      </c>
    </row>
    <row r="9" spans="1:256" x14ac:dyDescent="0.25">
      <c r="A9" t="e">
        <f>AND(#REF!,"AAAAACnb9wA=")</f>
        <v>#REF!</v>
      </c>
      <c r="B9" t="e">
        <f>AND(#REF!,"AAAAACnb9wE=")</f>
        <v>#REF!</v>
      </c>
      <c r="C9" t="e">
        <f>AND(#REF!,"AAAAACnb9wI=")</f>
        <v>#REF!</v>
      </c>
      <c r="D9" t="e">
        <f>AND(#REF!,"AAAAACnb9wM=")</f>
        <v>#REF!</v>
      </c>
      <c r="E9" t="e">
        <f>AND(#REF!,"AAAAACnb9wQ=")</f>
        <v>#REF!</v>
      </c>
      <c r="F9" t="e">
        <f>AND(#REF!,"AAAAACnb9wU=")</f>
        <v>#REF!</v>
      </c>
      <c r="G9" t="e">
        <f>AND(#REF!,"AAAAACnb9wY=")</f>
        <v>#REF!</v>
      </c>
      <c r="H9" t="e">
        <f>AND(#REF!,"AAAAACnb9wc=")</f>
        <v>#REF!</v>
      </c>
      <c r="I9" t="e">
        <f>AND(#REF!,"AAAAACnb9wg=")</f>
        <v>#REF!</v>
      </c>
      <c r="J9" t="e">
        <f>IF(#REF!,"AAAAACnb9wk=",0)</f>
        <v>#REF!</v>
      </c>
      <c r="K9" t="e">
        <f>AND(#REF!,"AAAAACnb9wo=")</f>
        <v>#REF!</v>
      </c>
      <c r="L9" t="e">
        <f>AND(#REF!,"AAAAACnb9ws=")</f>
        <v>#REF!</v>
      </c>
      <c r="M9" t="e">
        <f>AND(#REF!,"AAAAACnb9ww=")</f>
        <v>#REF!</v>
      </c>
      <c r="N9" t="e">
        <f>AND(#REF!,"AAAAACnb9w0=")</f>
        <v>#REF!</v>
      </c>
      <c r="O9" t="e">
        <f>AND(#REF!,"AAAAACnb9w4=")</f>
        <v>#REF!</v>
      </c>
      <c r="P9" t="e">
        <f>AND(#REF!,"AAAAACnb9w8=")</f>
        <v>#REF!</v>
      </c>
      <c r="Q9" t="e">
        <f>AND(#REF!,"AAAAACnb9xA=")</f>
        <v>#REF!</v>
      </c>
      <c r="R9" t="e">
        <f>AND(#REF!,"AAAAACnb9xE=")</f>
        <v>#REF!</v>
      </c>
      <c r="S9" t="e">
        <f>AND(#REF!,"AAAAACnb9xI=")</f>
        <v>#REF!</v>
      </c>
      <c r="T9" t="e">
        <f>AND(#REF!,"AAAAACnb9xM=")</f>
        <v>#REF!</v>
      </c>
      <c r="U9" t="e">
        <f>IF(#REF!,"AAAAACnb9xQ=",0)</f>
        <v>#REF!</v>
      </c>
      <c r="V9" t="e">
        <f>AND(#REF!,"AAAAACnb9xU=")</f>
        <v>#REF!</v>
      </c>
      <c r="W9" t="e">
        <f>AND(#REF!,"AAAAACnb9xY=")</f>
        <v>#REF!</v>
      </c>
      <c r="X9" t="e">
        <f>AND(#REF!,"AAAAACnb9xc=")</f>
        <v>#REF!</v>
      </c>
      <c r="Y9" t="e">
        <f>AND(#REF!,"AAAAACnb9xg=")</f>
        <v>#REF!</v>
      </c>
      <c r="Z9" t="e">
        <f>AND(#REF!,"AAAAACnb9xk=")</f>
        <v>#REF!</v>
      </c>
      <c r="AA9" t="e">
        <f>AND(#REF!,"AAAAACnb9xo=")</f>
        <v>#REF!</v>
      </c>
      <c r="AB9" t="e">
        <f>AND(#REF!,"AAAAACnb9xs=")</f>
        <v>#REF!</v>
      </c>
      <c r="AC9" t="e">
        <f>AND(#REF!,"AAAAACnb9xw=")</f>
        <v>#REF!</v>
      </c>
      <c r="AD9" t="e">
        <f>AND(#REF!,"AAAAACnb9x0=")</f>
        <v>#REF!</v>
      </c>
      <c r="AE9" t="e">
        <f>AND(#REF!,"AAAAACnb9x4=")</f>
        <v>#REF!</v>
      </c>
      <c r="AF9" t="e">
        <f>IF(#REF!,"AAAAACnb9x8=",0)</f>
        <v>#REF!</v>
      </c>
      <c r="AG9" t="e">
        <f>AND(#REF!,"AAAAACnb9yA=")</f>
        <v>#REF!</v>
      </c>
      <c r="AH9" t="e">
        <f>AND(#REF!,"AAAAACnb9yE=")</f>
        <v>#REF!</v>
      </c>
      <c r="AI9" t="e">
        <f>AND(#REF!,"AAAAACnb9yI=")</f>
        <v>#REF!</v>
      </c>
      <c r="AJ9" t="e">
        <f>AND(#REF!,"AAAAACnb9yM=")</f>
        <v>#REF!</v>
      </c>
      <c r="AK9" t="e">
        <f>AND(#REF!,"AAAAACnb9yQ=")</f>
        <v>#REF!</v>
      </c>
      <c r="AL9" t="e">
        <f>AND(#REF!,"AAAAACnb9yU=")</f>
        <v>#REF!</v>
      </c>
      <c r="AM9" t="e">
        <f>AND(#REF!,"AAAAACnb9yY=")</f>
        <v>#REF!</v>
      </c>
      <c r="AN9" t="e">
        <f>AND(#REF!,"AAAAACnb9yc=")</f>
        <v>#REF!</v>
      </c>
      <c r="AO9" t="e">
        <f>AND(#REF!,"AAAAACnb9yg=")</f>
        <v>#REF!</v>
      </c>
      <c r="AP9" t="e">
        <f>AND(#REF!,"AAAAACnb9yk=")</f>
        <v>#REF!</v>
      </c>
      <c r="AQ9" t="e">
        <f>IF(#REF!,"AAAAACnb9yo=",0)</f>
        <v>#REF!</v>
      </c>
      <c r="AR9" t="e">
        <f>AND(#REF!,"AAAAACnb9ys=")</f>
        <v>#REF!</v>
      </c>
      <c r="AS9" t="e">
        <f>AND(#REF!,"AAAAACnb9yw=")</f>
        <v>#REF!</v>
      </c>
      <c r="AT9" t="e">
        <f>AND(#REF!,"AAAAACnb9y0=")</f>
        <v>#REF!</v>
      </c>
      <c r="AU9" t="e">
        <f>AND(#REF!,"AAAAACnb9y4=")</f>
        <v>#REF!</v>
      </c>
      <c r="AV9" t="e">
        <f>AND(#REF!,"AAAAACnb9y8=")</f>
        <v>#REF!</v>
      </c>
      <c r="AW9" t="e">
        <f>AND(#REF!,"AAAAACnb9zA=")</f>
        <v>#REF!</v>
      </c>
      <c r="AX9" t="e">
        <f>AND(#REF!,"AAAAACnb9zE=")</f>
        <v>#REF!</v>
      </c>
      <c r="AY9" t="e">
        <f>AND(#REF!,"AAAAACnb9zI=")</f>
        <v>#REF!</v>
      </c>
      <c r="AZ9" t="e">
        <f>AND(#REF!,"AAAAACnb9zM=")</f>
        <v>#REF!</v>
      </c>
      <c r="BA9" t="e">
        <f>AND(#REF!,"AAAAACnb9zQ=")</f>
        <v>#REF!</v>
      </c>
      <c r="BB9" t="e">
        <f>IF(#REF!,"AAAAACnb9zU=",0)</f>
        <v>#REF!</v>
      </c>
      <c r="BC9" t="e">
        <f>AND(#REF!,"AAAAACnb9zY=")</f>
        <v>#REF!</v>
      </c>
      <c r="BD9" t="e">
        <f>AND(#REF!,"AAAAACnb9zc=")</f>
        <v>#REF!</v>
      </c>
      <c r="BE9" t="e">
        <f>AND(#REF!,"AAAAACnb9zg=")</f>
        <v>#REF!</v>
      </c>
      <c r="BF9" t="e">
        <f>AND(#REF!,"AAAAACnb9zk=")</f>
        <v>#REF!</v>
      </c>
      <c r="BG9" t="e">
        <f>AND(#REF!,"AAAAACnb9zo=")</f>
        <v>#REF!</v>
      </c>
      <c r="BH9" t="e">
        <f>AND(#REF!,"AAAAACnb9zs=")</f>
        <v>#REF!</v>
      </c>
      <c r="BI9" t="e">
        <f>AND(#REF!,"AAAAACnb9zw=")</f>
        <v>#REF!</v>
      </c>
      <c r="BJ9" t="e">
        <f>AND(#REF!,"AAAAACnb9z0=")</f>
        <v>#REF!</v>
      </c>
      <c r="BK9" t="e">
        <f>AND(#REF!,"AAAAACnb9z4=")</f>
        <v>#REF!</v>
      </c>
      <c r="BL9" t="e">
        <f>AND(#REF!,"AAAAACnb9z8=")</f>
        <v>#REF!</v>
      </c>
      <c r="BM9" t="e">
        <f>IF(#REF!,"AAAAACnb90A=",0)</f>
        <v>#REF!</v>
      </c>
      <c r="BN9" t="e">
        <f>AND(#REF!,"AAAAACnb90E=")</f>
        <v>#REF!</v>
      </c>
      <c r="BO9" t="e">
        <f>AND(#REF!,"AAAAACnb90I=")</f>
        <v>#REF!</v>
      </c>
      <c r="BP9" t="e">
        <f>AND(#REF!,"AAAAACnb90M=")</f>
        <v>#REF!</v>
      </c>
      <c r="BQ9" t="e">
        <f>AND(#REF!,"AAAAACnb90Q=")</f>
        <v>#REF!</v>
      </c>
      <c r="BR9" t="e">
        <f>AND(#REF!,"AAAAACnb90U=")</f>
        <v>#REF!</v>
      </c>
      <c r="BS9" t="e">
        <f>AND(#REF!,"AAAAACnb90Y=")</f>
        <v>#REF!</v>
      </c>
      <c r="BT9" t="e">
        <f>AND(#REF!,"AAAAACnb90c=")</f>
        <v>#REF!</v>
      </c>
      <c r="BU9" t="e">
        <f>AND(#REF!,"AAAAACnb90g=")</f>
        <v>#REF!</v>
      </c>
      <c r="BV9" t="e">
        <f>AND(#REF!,"AAAAACnb90k=")</f>
        <v>#REF!</v>
      </c>
      <c r="BW9" t="e">
        <f>AND(#REF!,"AAAAACnb90o=")</f>
        <v>#REF!</v>
      </c>
      <c r="BX9" t="e">
        <f>IF(#REF!,"AAAAACnb90s=",0)</f>
        <v>#REF!</v>
      </c>
      <c r="BY9" t="e">
        <f>AND(#REF!,"AAAAACnb90w=")</f>
        <v>#REF!</v>
      </c>
      <c r="BZ9" t="e">
        <f>AND(#REF!,"AAAAACnb900=")</f>
        <v>#REF!</v>
      </c>
      <c r="CA9" t="e">
        <f>AND(#REF!,"AAAAACnb904=")</f>
        <v>#REF!</v>
      </c>
      <c r="CB9" t="e">
        <f>AND(#REF!,"AAAAACnb908=")</f>
        <v>#REF!</v>
      </c>
      <c r="CC9" t="e">
        <f>AND(#REF!,"AAAAACnb91A=")</f>
        <v>#REF!</v>
      </c>
      <c r="CD9" t="e">
        <f>AND(#REF!,"AAAAACnb91E=")</f>
        <v>#REF!</v>
      </c>
      <c r="CE9" t="e">
        <f>AND(#REF!,"AAAAACnb91I=")</f>
        <v>#REF!</v>
      </c>
      <c r="CF9" t="e">
        <f>AND(#REF!,"AAAAACnb91M=")</f>
        <v>#REF!</v>
      </c>
      <c r="CG9" t="e">
        <f>AND(#REF!,"AAAAACnb91Q=")</f>
        <v>#REF!</v>
      </c>
      <c r="CH9" t="e">
        <f>AND(#REF!,"AAAAACnb91U=")</f>
        <v>#REF!</v>
      </c>
      <c r="CI9" t="e">
        <f>IF(#REF!,"AAAAACnb91Y=",0)</f>
        <v>#REF!</v>
      </c>
      <c r="CJ9" t="e">
        <f>AND(#REF!,"AAAAACnb91c=")</f>
        <v>#REF!</v>
      </c>
      <c r="CK9" t="e">
        <f>AND(#REF!,"AAAAACnb91g=")</f>
        <v>#REF!</v>
      </c>
      <c r="CL9" t="e">
        <f>AND(#REF!,"AAAAACnb91k=")</f>
        <v>#REF!</v>
      </c>
      <c r="CM9" t="e">
        <f>AND(#REF!,"AAAAACnb91o=")</f>
        <v>#REF!</v>
      </c>
      <c r="CN9" t="e">
        <f>AND(#REF!,"AAAAACnb91s=")</f>
        <v>#REF!</v>
      </c>
      <c r="CO9" t="e">
        <f>AND(#REF!,"AAAAACnb91w=")</f>
        <v>#REF!</v>
      </c>
      <c r="CP9" t="e">
        <f>AND(#REF!,"AAAAACnb910=")</f>
        <v>#REF!</v>
      </c>
      <c r="CQ9" t="e">
        <f>AND(#REF!,"AAAAACnb914=")</f>
        <v>#REF!</v>
      </c>
      <c r="CR9" t="e">
        <f>AND(#REF!,"AAAAACnb918=")</f>
        <v>#REF!</v>
      </c>
      <c r="CS9" t="e">
        <f>AND(#REF!,"AAAAACnb92A=")</f>
        <v>#REF!</v>
      </c>
      <c r="CT9" t="e">
        <f>IF(#REF!,"AAAAACnb92E=",0)</f>
        <v>#REF!</v>
      </c>
      <c r="CU9" t="e">
        <f>AND(#REF!,"AAAAACnb92I=")</f>
        <v>#REF!</v>
      </c>
      <c r="CV9" t="e">
        <f>AND(#REF!,"AAAAACnb92M=")</f>
        <v>#REF!</v>
      </c>
      <c r="CW9" t="e">
        <f>AND(#REF!,"AAAAACnb92Q=")</f>
        <v>#REF!</v>
      </c>
      <c r="CX9" t="e">
        <f>AND(#REF!,"AAAAACnb92U=")</f>
        <v>#REF!</v>
      </c>
      <c r="CY9" t="e">
        <f>AND(#REF!,"AAAAACnb92Y=")</f>
        <v>#REF!</v>
      </c>
      <c r="CZ9" t="e">
        <f>AND(#REF!,"AAAAACnb92c=")</f>
        <v>#REF!</v>
      </c>
      <c r="DA9" t="e">
        <f>AND(#REF!,"AAAAACnb92g=")</f>
        <v>#REF!</v>
      </c>
      <c r="DB9" t="e">
        <f>AND(#REF!,"AAAAACnb92k=")</f>
        <v>#REF!</v>
      </c>
      <c r="DC9" t="e">
        <f>AND(#REF!,"AAAAACnb92o=")</f>
        <v>#REF!</v>
      </c>
      <c r="DD9" t="e">
        <f>AND(#REF!,"AAAAACnb92s=")</f>
        <v>#REF!</v>
      </c>
      <c r="DE9" t="e">
        <f>IF(#REF!,"AAAAACnb92w=",0)</f>
        <v>#REF!</v>
      </c>
      <c r="DF9" t="e">
        <f>AND(#REF!,"AAAAACnb920=")</f>
        <v>#REF!</v>
      </c>
      <c r="DG9" t="e">
        <f>AND(#REF!,"AAAAACnb924=")</f>
        <v>#REF!</v>
      </c>
      <c r="DH9" t="e">
        <f>AND(#REF!,"AAAAACnb928=")</f>
        <v>#REF!</v>
      </c>
      <c r="DI9" t="e">
        <f>AND(#REF!,"AAAAACnb93A=")</f>
        <v>#REF!</v>
      </c>
      <c r="DJ9" t="e">
        <f>AND(#REF!,"AAAAACnb93E=")</f>
        <v>#REF!</v>
      </c>
      <c r="DK9" t="e">
        <f>AND(#REF!,"AAAAACnb93I=")</f>
        <v>#REF!</v>
      </c>
      <c r="DL9" t="e">
        <f>AND(#REF!,"AAAAACnb93M=")</f>
        <v>#REF!</v>
      </c>
      <c r="DM9" t="e">
        <f>AND(#REF!,"AAAAACnb93Q=")</f>
        <v>#REF!</v>
      </c>
      <c r="DN9" t="e">
        <f>AND(#REF!,"AAAAACnb93U=")</f>
        <v>#REF!</v>
      </c>
      <c r="DO9" t="e">
        <f>AND(#REF!,"AAAAACnb93Y=")</f>
        <v>#REF!</v>
      </c>
      <c r="DP9" t="e">
        <f>IF(#REF!,"AAAAACnb93c=",0)</f>
        <v>#REF!</v>
      </c>
      <c r="DQ9" t="e">
        <f>AND(#REF!,"AAAAACnb93g=")</f>
        <v>#REF!</v>
      </c>
      <c r="DR9" t="e">
        <f>AND(#REF!,"AAAAACnb93k=")</f>
        <v>#REF!</v>
      </c>
      <c r="DS9" t="e">
        <f>AND(#REF!,"AAAAACnb93o=")</f>
        <v>#REF!</v>
      </c>
      <c r="DT9" t="e">
        <f>AND(#REF!,"AAAAACnb93s=")</f>
        <v>#REF!</v>
      </c>
      <c r="DU9" t="e">
        <f>AND(#REF!,"AAAAACnb93w=")</f>
        <v>#REF!</v>
      </c>
      <c r="DV9" t="e">
        <f>AND(#REF!,"AAAAACnb930=")</f>
        <v>#REF!</v>
      </c>
      <c r="DW9" t="e">
        <f>AND(#REF!,"AAAAACnb934=")</f>
        <v>#REF!</v>
      </c>
      <c r="DX9" t="e">
        <f>AND(#REF!,"AAAAACnb938=")</f>
        <v>#REF!</v>
      </c>
      <c r="DY9" t="e">
        <f>AND(#REF!,"AAAAACnb94A=")</f>
        <v>#REF!</v>
      </c>
      <c r="DZ9" t="e">
        <f>AND(#REF!,"AAAAACnb94E=")</f>
        <v>#REF!</v>
      </c>
      <c r="EA9" t="e">
        <f>IF(#REF!,"AAAAACnb94I=",0)</f>
        <v>#REF!</v>
      </c>
      <c r="EB9" t="e">
        <f>AND(#REF!,"AAAAACnb94M=")</f>
        <v>#REF!</v>
      </c>
      <c r="EC9" t="e">
        <f>AND(#REF!,"AAAAACnb94Q=")</f>
        <v>#REF!</v>
      </c>
      <c r="ED9" t="e">
        <f>AND(#REF!,"AAAAACnb94U=")</f>
        <v>#REF!</v>
      </c>
      <c r="EE9" t="e">
        <f>AND(#REF!,"AAAAACnb94Y=")</f>
        <v>#REF!</v>
      </c>
      <c r="EF9" t="e">
        <f>AND(#REF!,"AAAAACnb94c=")</f>
        <v>#REF!</v>
      </c>
      <c r="EG9" t="e">
        <f>AND(#REF!,"AAAAACnb94g=")</f>
        <v>#REF!</v>
      </c>
      <c r="EH9" t="e">
        <f>AND(#REF!,"AAAAACnb94k=")</f>
        <v>#REF!</v>
      </c>
      <c r="EI9" t="e">
        <f>AND(#REF!,"AAAAACnb94o=")</f>
        <v>#REF!</v>
      </c>
      <c r="EJ9" t="e">
        <f>AND(#REF!,"AAAAACnb94s=")</f>
        <v>#REF!</v>
      </c>
      <c r="EK9" t="e">
        <f>AND(#REF!,"AAAAACnb94w=")</f>
        <v>#REF!</v>
      </c>
      <c r="EL9" t="e">
        <f>IF(#REF!,"AAAAACnb940=",0)</f>
        <v>#REF!</v>
      </c>
      <c r="EM9" t="e">
        <f>AND(#REF!,"AAAAACnb944=")</f>
        <v>#REF!</v>
      </c>
      <c r="EN9" t="e">
        <f>AND(#REF!,"AAAAACnb948=")</f>
        <v>#REF!</v>
      </c>
      <c r="EO9" t="e">
        <f>AND(#REF!,"AAAAACnb95A=")</f>
        <v>#REF!</v>
      </c>
      <c r="EP9" t="e">
        <f>AND(#REF!,"AAAAACnb95E=")</f>
        <v>#REF!</v>
      </c>
      <c r="EQ9" t="e">
        <f>AND(#REF!,"AAAAACnb95I=")</f>
        <v>#REF!</v>
      </c>
      <c r="ER9" t="e">
        <f>AND(#REF!,"AAAAACnb95M=")</f>
        <v>#REF!</v>
      </c>
      <c r="ES9" t="e">
        <f>AND(#REF!,"AAAAACnb95Q=")</f>
        <v>#REF!</v>
      </c>
      <c r="ET9" t="e">
        <f>AND(#REF!,"AAAAACnb95U=")</f>
        <v>#REF!</v>
      </c>
      <c r="EU9" t="e">
        <f>AND(#REF!,"AAAAACnb95Y=")</f>
        <v>#REF!</v>
      </c>
      <c r="EV9" t="e">
        <f>AND(#REF!,"AAAAACnb95c=")</f>
        <v>#REF!</v>
      </c>
      <c r="EW9" t="e">
        <f>IF(#REF!,"AAAAACnb95g=",0)</f>
        <v>#REF!</v>
      </c>
      <c r="EX9" t="e">
        <f>IF(#REF!,"AAAAACnb95k=",0)</f>
        <v>#REF!</v>
      </c>
      <c r="EY9" t="e">
        <f>IF(#REF!,"AAAAACnb95o=",0)</f>
        <v>#REF!</v>
      </c>
      <c r="EZ9" t="e">
        <f>IF(#REF!,"AAAAACnb95s=",0)</f>
        <v>#REF!</v>
      </c>
      <c r="FA9" t="e">
        <f>IF(#REF!,"AAAAACnb95w=",0)</f>
        <v>#REF!</v>
      </c>
      <c r="FB9" t="e">
        <f>IF(#REF!,"AAAAACnb950=",0)</f>
        <v>#REF!</v>
      </c>
      <c r="FC9" t="e">
        <f>IF(#REF!,"AAAAACnb954=",0)</f>
        <v>#REF!</v>
      </c>
      <c r="FD9" t="e">
        <f>IF(#REF!,"AAAAACnb958=",0)</f>
        <v>#REF!</v>
      </c>
      <c r="FE9" t="e">
        <f>IF(#REF!,"AAAAACnb96A=",0)</f>
        <v>#REF!</v>
      </c>
      <c r="FF9" t="e">
        <f>IF(#REF!,"AAAAACnb96E=",0)</f>
        <v>#REF!</v>
      </c>
      <c r="FG9" t="e">
        <f>IF(#REF!,"AAAAACnb96I=",0)</f>
        <v>#REF!</v>
      </c>
      <c r="FH9" t="e">
        <f>AND(#REF!,"AAAAACnb96M=")</f>
        <v>#REF!</v>
      </c>
      <c r="FI9" t="e">
        <f>AND(#REF!,"AAAAACnb96Q=")</f>
        <v>#REF!</v>
      </c>
      <c r="FJ9" t="e">
        <f>AND(#REF!,"AAAAACnb96U=")</f>
        <v>#REF!</v>
      </c>
      <c r="FK9" t="e">
        <f>AND(#REF!,"AAAAACnb96Y=")</f>
        <v>#REF!</v>
      </c>
      <c r="FL9" t="e">
        <f>AND(#REF!,"AAAAACnb96c=")</f>
        <v>#REF!</v>
      </c>
      <c r="FM9" t="e">
        <f>AND(#REF!,"AAAAACnb96g=")</f>
        <v>#REF!</v>
      </c>
      <c r="FN9" t="e">
        <f>AND(#REF!,"AAAAACnb96k=")</f>
        <v>#REF!</v>
      </c>
      <c r="FO9" t="e">
        <f>AND(#REF!,"AAAAACnb96o=")</f>
        <v>#REF!</v>
      </c>
      <c r="FP9" t="e">
        <f>AND(#REF!,"AAAAACnb96s=")</f>
        <v>#REF!</v>
      </c>
      <c r="FQ9" t="e">
        <f>AND(#REF!,"AAAAACnb96w=")</f>
        <v>#REF!</v>
      </c>
      <c r="FR9" t="e">
        <f>IF(#REF!,"AAAAACnb960=",0)</f>
        <v>#REF!</v>
      </c>
      <c r="FS9" t="e">
        <f>AND(#REF!,"AAAAACnb964=")</f>
        <v>#REF!</v>
      </c>
      <c r="FT9" t="e">
        <f>AND(#REF!,"AAAAACnb968=")</f>
        <v>#REF!</v>
      </c>
      <c r="FU9" t="e">
        <f>AND(#REF!,"AAAAACnb97A=")</f>
        <v>#REF!</v>
      </c>
      <c r="FV9" t="e">
        <f>AND(#REF!,"AAAAACnb97E=")</f>
        <v>#REF!</v>
      </c>
      <c r="FW9" t="e">
        <f>AND(#REF!,"AAAAACnb97I=")</f>
        <v>#REF!</v>
      </c>
      <c r="FX9" t="e">
        <f>AND(#REF!,"AAAAACnb97M=")</f>
        <v>#REF!</v>
      </c>
      <c r="FY9" t="e">
        <f>AND(#REF!,"AAAAACnb97Q=")</f>
        <v>#REF!</v>
      </c>
      <c r="FZ9" t="e">
        <f>AND(#REF!,"AAAAACnb97U=")</f>
        <v>#REF!</v>
      </c>
      <c r="GA9" t="e">
        <f>AND(#REF!,"AAAAACnb97Y=")</f>
        <v>#REF!</v>
      </c>
      <c r="GB9" t="e">
        <f>AND(#REF!,"AAAAACnb97c=")</f>
        <v>#REF!</v>
      </c>
      <c r="GC9" t="e">
        <f>IF(#REF!,"AAAAACnb97g=",0)</f>
        <v>#REF!</v>
      </c>
      <c r="GD9" t="e">
        <f>AND(#REF!,"AAAAACnb97k=")</f>
        <v>#REF!</v>
      </c>
      <c r="GE9" t="e">
        <f>AND(#REF!,"AAAAACnb97o=")</f>
        <v>#REF!</v>
      </c>
      <c r="GF9" t="e">
        <f>AND(#REF!,"AAAAACnb97s=")</f>
        <v>#REF!</v>
      </c>
      <c r="GG9" t="e">
        <f>AND(#REF!,"AAAAACnb97w=")</f>
        <v>#REF!</v>
      </c>
      <c r="GH9" t="e">
        <f>AND(#REF!,"AAAAACnb970=")</f>
        <v>#REF!</v>
      </c>
      <c r="GI9" t="e">
        <f>AND(#REF!,"AAAAACnb974=")</f>
        <v>#REF!</v>
      </c>
      <c r="GJ9" t="e">
        <f>AND(#REF!,"AAAAACnb978=")</f>
        <v>#REF!</v>
      </c>
      <c r="GK9" t="e">
        <f>AND(#REF!,"AAAAACnb98A=")</f>
        <v>#REF!</v>
      </c>
      <c r="GL9" t="e">
        <f>AND(#REF!,"AAAAACnb98E=")</f>
        <v>#REF!</v>
      </c>
      <c r="GM9" t="e">
        <f>AND(#REF!,"AAAAACnb98I=")</f>
        <v>#REF!</v>
      </c>
      <c r="GN9" t="e">
        <f>IF(#REF!,"AAAAACnb98M=",0)</f>
        <v>#REF!</v>
      </c>
      <c r="GO9" t="e">
        <f>AND(#REF!,"AAAAACnb98Q=")</f>
        <v>#REF!</v>
      </c>
      <c r="GP9" t="e">
        <f>AND(#REF!,"AAAAACnb98U=")</f>
        <v>#REF!</v>
      </c>
      <c r="GQ9" t="e">
        <f>AND(#REF!,"AAAAACnb98Y=")</f>
        <v>#REF!</v>
      </c>
      <c r="GR9" t="e">
        <f>AND(#REF!,"AAAAACnb98c=")</f>
        <v>#REF!</v>
      </c>
      <c r="GS9" t="e">
        <f>AND(#REF!,"AAAAACnb98g=")</f>
        <v>#REF!</v>
      </c>
      <c r="GT9" t="e">
        <f>AND(#REF!,"AAAAACnb98k=")</f>
        <v>#REF!</v>
      </c>
      <c r="GU9" t="e">
        <f>AND(#REF!,"AAAAACnb98o=")</f>
        <v>#REF!</v>
      </c>
      <c r="GV9" t="e">
        <f>AND(#REF!,"AAAAACnb98s=")</f>
        <v>#REF!</v>
      </c>
      <c r="GW9" t="e">
        <f>AND(#REF!,"AAAAACnb98w=")</f>
        <v>#REF!</v>
      </c>
      <c r="GX9" t="e">
        <f>AND(#REF!,"AAAAACnb980=")</f>
        <v>#REF!</v>
      </c>
      <c r="GY9" t="e">
        <f>IF(#REF!,"AAAAACnb984=",0)</f>
        <v>#REF!</v>
      </c>
      <c r="GZ9" t="e">
        <f>AND(#REF!,"AAAAACnb988=")</f>
        <v>#REF!</v>
      </c>
      <c r="HA9" t="e">
        <f>AND(#REF!,"AAAAACnb99A=")</f>
        <v>#REF!</v>
      </c>
      <c r="HB9" t="e">
        <f>AND(#REF!,"AAAAACnb99E=")</f>
        <v>#REF!</v>
      </c>
      <c r="HC9" t="e">
        <f>AND(#REF!,"AAAAACnb99I=")</f>
        <v>#REF!</v>
      </c>
      <c r="HD9" t="e">
        <f>AND(#REF!,"AAAAACnb99M=")</f>
        <v>#REF!</v>
      </c>
      <c r="HE9" t="e">
        <f>AND(#REF!,"AAAAACnb99Q=")</f>
        <v>#REF!</v>
      </c>
      <c r="HF9" t="e">
        <f>AND(#REF!,"AAAAACnb99U=")</f>
        <v>#REF!</v>
      </c>
      <c r="HG9" t="e">
        <f>AND(#REF!,"AAAAACnb99Y=")</f>
        <v>#REF!</v>
      </c>
      <c r="HH9" t="e">
        <f>AND(#REF!,"AAAAACnb99c=")</f>
        <v>#REF!</v>
      </c>
      <c r="HI9" t="e">
        <f>AND(#REF!,"AAAAACnb99g=")</f>
        <v>#REF!</v>
      </c>
      <c r="HJ9" t="e">
        <f>IF(#REF!,"AAAAACnb99k=",0)</f>
        <v>#REF!</v>
      </c>
      <c r="HK9" t="e">
        <f>AND(#REF!,"AAAAACnb99o=")</f>
        <v>#REF!</v>
      </c>
      <c r="HL9" t="e">
        <f>AND(#REF!,"AAAAACnb99s=")</f>
        <v>#REF!</v>
      </c>
      <c r="HM9" t="e">
        <f>AND(#REF!,"AAAAACnb99w=")</f>
        <v>#REF!</v>
      </c>
      <c r="HN9" t="e">
        <f>AND(#REF!,"AAAAACnb990=")</f>
        <v>#REF!</v>
      </c>
      <c r="HO9" t="e">
        <f>AND(#REF!,"AAAAACnb994=")</f>
        <v>#REF!</v>
      </c>
      <c r="HP9" t="e">
        <f>AND(#REF!,"AAAAACnb998=")</f>
        <v>#REF!</v>
      </c>
      <c r="HQ9" t="e">
        <f>AND(#REF!,"AAAAACnb9+A=")</f>
        <v>#REF!</v>
      </c>
      <c r="HR9" t="e">
        <f>AND(#REF!,"AAAAACnb9+E=")</f>
        <v>#REF!</v>
      </c>
      <c r="HS9" t="e">
        <f>AND(#REF!,"AAAAACnb9+I=")</f>
        <v>#REF!</v>
      </c>
      <c r="HT9" t="e">
        <f>AND(#REF!,"AAAAACnb9+M=")</f>
        <v>#REF!</v>
      </c>
      <c r="HU9" t="e">
        <f>IF(#REF!,"AAAAACnb9+Q=",0)</f>
        <v>#REF!</v>
      </c>
      <c r="HV9" t="e">
        <f>AND(#REF!,"AAAAACnb9+U=")</f>
        <v>#REF!</v>
      </c>
      <c r="HW9" t="e">
        <f>AND(#REF!,"AAAAACnb9+Y=")</f>
        <v>#REF!</v>
      </c>
      <c r="HX9" t="e">
        <f>AND(#REF!,"AAAAACnb9+c=")</f>
        <v>#REF!</v>
      </c>
      <c r="HY9" t="e">
        <f>AND(#REF!,"AAAAACnb9+g=")</f>
        <v>#REF!</v>
      </c>
      <c r="HZ9" t="e">
        <f>AND(#REF!,"AAAAACnb9+k=")</f>
        <v>#REF!</v>
      </c>
      <c r="IA9" t="e">
        <f>AND(#REF!,"AAAAACnb9+o=")</f>
        <v>#REF!</v>
      </c>
      <c r="IB9" t="e">
        <f>AND(#REF!,"AAAAACnb9+s=")</f>
        <v>#REF!</v>
      </c>
      <c r="IC9" t="e">
        <f>AND(#REF!,"AAAAACnb9+w=")</f>
        <v>#REF!</v>
      </c>
      <c r="ID9" t="e">
        <f>AND(#REF!,"AAAAACnb9+0=")</f>
        <v>#REF!</v>
      </c>
      <c r="IE9" t="e">
        <f>AND(#REF!,"AAAAACnb9+4=")</f>
        <v>#REF!</v>
      </c>
      <c r="IF9" t="e">
        <f>IF(#REF!,"AAAAACnb9+8=",0)</f>
        <v>#REF!</v>
      </c>
      <c r="IG9" t="e">
        <f>AND(#REF!,"AAAAACnb9/A=")</f>
        <v>#REF!</v>
      </c>
      <c r="IH9" t="e">
        <f>AND(#REF!,"AAAAACnb9/E=")</f>
        <v>#REF!</v>
      </c>
      <c r="II9" t="e">
        <f>AND(#REF!,"AAAAACnb9/I=")</f>
        <v>#REF!</v>
      </c>
      <c r="IJ9" t="e">
        <f>AND(#REF!,"AAAAACnb9/M=")</f>
        <v>#REF!</v>
      </c>
      <c r="IK9" t="e">
        <f>AND(#REF!,"AAAAACnb9/Q=")</f>
        <v>#REF!</v>
      </c>
      <c r="IL9" t="e">
        <f>AND(#REF!,"AAAAACnb9/U=")</f>
        <v>#REF!</v>
      </c>
      <c r="IM9" t="e">
        <f>AND(#REF!,"AAAAACnb9/Y=")</f>
        <v>#REF!</v>
      </c>
      <c r="IN9" t="e">
        <f>AND(#REF!,"AAAAACnb9/c=")</f>
        <v>#REF!</v>
      </c>
      <c r="IO9" t="e">
        <f>AND(#REF!,"AAAAACnb9/g=")</f>
        <v>#REF!</v>
      </c>
      <c r="IP9" t="e">
        <f>AND(#REF!,"AAAAACnb9/k=")</f>
        <v>#REF!</v>
      </c>
      <c r="IQ9" t="e">
        <f>IF(#REF!,"AAAAACnb9/o=",0)</f>
        <v>#REF!</v>
      </c>
      <c r="IR9" t="e">
        <f>AND(#REF!,"AAAAACnb9/s=")</f>
        <v>#REF!</v>
      </c>
      <c r="IS9" t="e">
        <f>AND(#REF!,"AAAAACnb9/w=")</f>
        <v>#REF!</v>
      </c>
      <c r="IT9" t="e">
        <f>AND(#REF!,"AAAAACnb9/0=")</f>
        <v>#REF!</v>
      </c>
      <c r="IU9" t="e">
        <f>AND(#REF!,"AAAAACnb9/4=")</f>
        <v>#REF!</v>
      </c>
      <c r="IV9" t="e">
        <f>AND(#REF!,"AAAAACnb9/8=")</f>
        <v>#REF!</v>
      </c>
    </row>
    <row r="10" spans="1:256" x14ac:dyDescent="0.25">
      <c r="A10" t="e">
        <f>AND(#REF!,"AAAAABw+eQA=")</f>
        <v>#REF!</v>
      </c>
      <c r="B10" t="e">
        <f>AND(#REF!,"AAAAABw+eQE=")</f>
        <v>#REF!</v>
      </c>
      <c r="C10" t="e">
        <f>AND(#REF!,"AAAAABw+eQI=")</f>
        <v>#REF!</v>
      </c>
      <c r="D10" t="e">
        <f>AND(#REF!,"AAAAABw+eQM=")</f>
        <v>#REF!</v>
      </c>
      <c r="E10" t="e">
        <f>AND(#REF!,"AAAAABw+eQQ=")</f>
        <v>#REF!</v>
      </c>
      <c r="F10" t="e">
        <f>IF(#REF!,"AAAAABw+eQU=",0)</f>
        <v>#REF!</v>
      </c>
      <c r="G10" t="e">
        <f>AND(#REF!,"AAAAABw+eQY=")</f>
        <v>#REF!</v>
      </c>
      <c r="H10" t="e">
        <f>AND(#REF!,"AAAAABw+eQc=")</f>
        <v>#REF!</v>
      </c>
      <c r="I10" t="e">
        <f>AND(#REF!,"AAAAABw+eQg=")</f>
        <v>#REF!</v>
      </c>
      <c r="J10" t="e">
        <f>AND(#REF!,"AAAAABw+eQk=")</f>
        <v>#REF!</v>
      </c>
      <c r="K10" t="e">
        <f>AND(#REF!,"AAAAABw+eQo=")</f>
        <v>#REF!</v>
      </c>
      <c r="L10" t="e">
        <f>AND(#REF!,"AAAAABw+eQs=")</f>
        <v>#REF!</v>
      </c>
      <c r="M10" t="e">
        <f>AND(#REF!,"AAAAABw+eQw=")</f>
        <v>#REF!</v>
      </c>
      <c r="N10" t="e">
        <f>AND(#REF!,"AAAAABw+eQ0=")</f>
        <v>#REF!</v>
      </c>
      <c r="O10" t="e">
        <f>AND(#REF!,"AAAAABw+eQ4=")</f>
        <v>#REF!</v>
      </c>
      <c r="P10" t="e">
        <f>AND(#REF!,"AAAAABw+eQ8=")</f>
        <v>#REF!</v>
      </c>
      <c r="Q10" t="e">
        <f>IF(#REF!,"AAAAABw+eRA=",0)</f>
        <v>#REF!</v>
      </c>
      <c r="R10" t="e">
        <f>AND(#REF!,"AAAAABw+eRE=")</f>
        <v>#REF!</v>
      </c>
      <c r="S10" t="e">
        <f>AND(#REF!,"AAAAABw+eRI=")</f>
        <v>#REF!</v>
      </c>
      <c r="T10" t="e">
        <f>AND(#REF!,"AAAAABw+eRM=")</f>
        <v>#REF!</v>
      </c>
      <c r="U10" t="e">
        <f>AND(#REF!,"AAAAABw+eRQ=")</f>
        <v>#REF!</v>
      </c>
      <c r="V10" t="e">
        <f>AND(#REF!,"AAAAABw+eRU=")</f>
        <v>#REF!</v>
      </c>
      <c r="W10" t="e">
        <f>AND(#REF!,"AAAAABw+eRY=")</f>
        <v>#REF!</v>
      </c>
      <c r="X10" t="e">
        <f>AND(#REF!,"AAAAABw+eRc=")</f>
        <v>#REF!</v>
      </c>
      <c r="Y10" t="e">
        <f>AND(#REF!,"AAAAABw+eRg=")</f>
        <v>#REF!</v>
      </c>
      <c r="Z10" t="e">
        <f>AND(#REF!,"AAAAABw+eRk=")</f>
        <v>#REF!</v>
      </c>
      <c r="AA10" t="e">
        <f>AND(#REF!,"AAAAABw+eRo=")</f>
        <v>#REF!</v>
      </c>
      <c r="AB10" t="e">
        <f>IF(#REF!,"AAAAABw+eRs=",0)</f>
        <v>#REF!</v>
      </c>
      <c r="AC10" t="e">
        <f>AND(#REF!,"AAAAABw+eRw=")</f>
        <v>#REF!</v>
      </c>
      <c r="AD10" t="e">
        <f>AND(#REF!,"AAAAABw+eR0=")</f>
        <v>#REF!</v>
      </c>
      <c r="AE10" t="e">
        <f>AND(#REF!,"AAAAABw+eR4=")</f>
        <v>#REF!</v>
      </c>
      <c r="AF10" t="e">
        <f>AND(#REF!,"AAAAABw+eR8=")</f>
        <v>#REF!</v>
      </c>
      <c r="AG10" t="e">
        <f>AND(#REF!,"AAAAABw+eSA=")</f>
        <v>#REF!</v>
      </c>
      <c r="AH10" t="e">
        <f>AND(#REF!,"AAAAABw+eSE=")</f>
        <v>#REF!</v>
      </c>
      <c r="AI10" t="e">
        <f>AND(#REF!,"AAAAABw+eSI=")</f>
        <v>#REF!</v>
      </c>
      <c r="AJ10" t="e">
        <f>AND(#REF!,"AAAAABw+eSM=")</f>
        <v>#REF!</v>
      </c>
      <c r="AK10" t="e">
        <f>AND(#REF!,"AAAAABw+eSQ=")</f>
        <v>#REF!</v>
      </c>
      <c r="AL10" t="e">
        <f>AND(#REF!,"AAAAABw+eSU=")</f>
        <v>#REF!</v>
      </c>
      <c r="AM10" t="e">
        <f>IF(#REF!,"AAAAABw+eSY=",0)</f>
        <v>#REF!</v>
      </c>
      <c r="AN10" t="e">
        <f>AND(#REF!,"AAAAABw+eSc=")</f>
        <v>#REF!</v>
      </c>
      <c r="AO10" t="e">
        <f>AND(#REF!,"AAAAABw+eSg=")</f>
        <v>#REF!</v>
      </c>
      <c r="AP10" t="e">
        <f>AND(#REF!,"AAAAABw+eSk=")</f>
        <v>#REF!</v>
      </c>
      <c r="AQ10" t="e">
        <f>AND(#REF!,"AAAAABw+eSo=")</f>
        <v>#REF!</v>
      </c>
      <c r="AR10" t="e">
        <f>AND(#REF!,"AAAAABw+eSs=")</f>
        <v>#REF!</v>
      </c>
      <c r="AS10" t="e">
        <f>AND(#REF!,"AAAAABw+eSw=")</f>
        <v>#REF!</v>
      </c>
      <c r="AT10" t="e">
        <f>AND(#REF!,"AAAAABw+eS0=")</f>
        <v>#REF!</v>
      </c>
      <c r="AU10" t="e">
        <f>AND(#REF!,"AAAAABw+eS4=")</f>
        <v>#REF!</v>
      </c>
      <c r="AV10" t="e">
        <f>AND(#REF!,"AAAAABw+eS8=")</f>
        <v>#REF!</v>
      </c>
      <c r="AW10" t="e">
        <f>AND(#REF!,"AAAAABw+eTA=")</f>
        <v>#REF!</v>
      </c>
      <c r="AX10" t="e">
        <f>IF(#REF!,"AAAAABw+eTE=",0)</f>
        <v>#REF!</v>
      </c>
      <c r="AY10" t="e">
        <f>AND(#REF!,"AAAAABw+eTI=")</f>
        <v>#REF!</v>
      </c>
      <c r="AZ10" t="e">
        <f>AND(#REF!,"AAAAABw+eTM=")</f>
        <v>#REF!</v>
      </c>
      <c r="BA10" t="e">
        <f>AND(#REF!,"AAAAABw+eTQ=")</f>
        <v>#REF!</v>
      </c>
      <c r="BB10" t="e">
        <f>AND(#REF!,"AAAAABw+eTU=")</f>
        <v>#REF!</v>
      </c>
      <c r="BC10" t="e">
        <f>AND(#REF!,"AAAAABw+eTY=")</f>
        <v>#REF!</v>
      </c>
      <c r="BD10" t="e">
        <f>AND(#REF!,"AAAAABw+eTc=")</f>
        <v>#REF!</v>
      </c>
      <c r="BE10" t="e">
        <f>AND(#REF!,"AAAAABw+eTg=")</f>
        <v>#REF!</v>
      </c>
      <c r="BF10" t="e">
        <f>AND(#REF!,"AAAAABw+eTk=")</f>
        <v>#REF!</v>
      </c>
      <c r="BG10" t="e">
        <f>AND(#REF!,"AAAAABw+eTo=")</f>
        <v>#REF!</v>
      </c>
      <c r="BH10" t="e">
        <f>AND(#REF!,"AAAAABw+eTs=")</f>
        <v>#REF!</v>
      </c>
      <c r="BI10" t="e">
        <f>IF(#REF!,"AAAAABw+eTw=",0)</f>
        <v>#REF!</v>
      </c>
      <c r="BJ10" t="e">
        <f>AND(#REF!,"AAAAABw+eT0=")</f>
        <v>#REF!</v>
      </c>
      <c r="BK10" t="e">
        <f>AND(#REF!,"AAAAABw+eT4=")</f>
        <v>#REF!</v>
      </c>
      <c r="BL10" t="e">
        <f>AND(#REF!,"AAAAABw+eT8=")</f>
        <v>#REF!</v>
      </c>
      <c r="BM10" t="e">
        <f>AND(#REF!,"AAAAABw+eUA=")</f>
        <v>#REF!</v>
      </c>
      <c r="BN10" t="e">
        <f>AND(#REF!,"AAAAABw+eUE=")</f>
        <v>#REF!</v>
      </c>
      <c r="BO10" t="e">
        <f>AND(#REF!,"AAAAABw+eUI=")</f>
        <v>#REF!</v>
      </c>
      <c r="BP10" t="e">
        <f>AND(#REF!,"AAAAABw+eUM=")</f>
        <v>#REF!</v>
      </c>
      <c r="BQ10" t="e">
        <f>AND(#REF!,"AAAAABw+eUQ=")</f>
        <v>#REF!</v>
      </c>
      <c r="BR10" t="e">
        <f>AND(#REF!,"AAAAABw+eUU=")</f>
        <v>#REF!</v>
      </c>
      <c r="BS10" t="e">
        <f>AND(#REF!,"AAAAABw+eUY=")</f>
        <v>#REF!</v>
      </c>
      <c r="BT10" t="e">
        <f>IF(#REF!,"AAAAABw+eUc=",0)</f>
        <v>#REF!</v>
      </c>
      <c r="BU10" t="e">
        <f>AND(#REF!,"AAAAABw+eUg=")</f>
        <v>#REF!</v>
      </c>
      <c r="BV10" t="e">
        <f>AND(#REF!,"AAAAABw+eUk=")</f>
        <v>#REF!</v>
      </c>
      <c r="BW10" t="e">
        <f>AND(#REF!,"AAAAABw+eUo=")</f>
        <v>#REF!</v>
      </c>
      <c r="BX10" t="e">
        <f>AND(#REF!,"AAAAABw+eUs=")</f>
        <v>#REF!</v>
      </c>
      <c r="BY10" t="e">
        <f>AND(#REF!,"AAAAABw+eUw=")</f>
        <v>#REF!</v>
      </c>
      <c r="BZ10" t="e">
        <f>AND(#REF!,"AAAAABw+eU0=")</f>
        <v>#REF!</v>
      </c>
      <c r="CA10" t="e">
        <f>AND(#REF!,"AAAAABw+eU4=")</f>
        <v>#REF!</v>
      </c>
      <c r="CB10" t="e">
        <f>AND(#REF!,"AAAAABw+eU8=")</f>
        <v>#REF!</v>
      </c>
      <c r="CC10" t="e">
        <f>AND(#REF!,"AAAAABw+eVA=")</f>
        <v>#REF!</v>
      </c>
      <c r="CD10" t="e">
        <f>AND(#REF!,"AAAAABw+eVE=")</f>
        <v>#REF!</v>
      </c>
      <c r="CE10" t="e">
        <f>IF(#REF!,"AAAAABw+eVI=",0)</f>
        <v>#REF!</v>
      </c>
      <c r="CF10" t="e">
        <f>AND(#REF!,"AAAAABw+eVM=")</f>
        <v>#REF!</v>
      </c>
      <c r="CG10" t="e">
        <f>AND(#REF!,"AAAAABw+eVQ=")</f>
        <v>#REF!</v>
      </c>
      <c r="CH10" t="e">
        <f>AND(#REF!,"AAAAABw+eVU=")</f>
        <v>#REF!</v>
      </c>
      <c r="CI10" t="e">
        <f>AND(#REF!,"AAAAABw+eVY=")</f>
        <v>#REF!</v>
      </c>
      <c r="CJ10" t="e">
        <f>AND(#REF!,"AAAAABw+eVc=")</f>
        <v>#REF!</v>
      </c>
      <c r="CK10" t="e">
        <f>AND(#REF!,"AAAAABw+eVg=")</f>
        <v>#REF!</v>
      </c>
      <c r="CL10" t="e">
        <f>AND(#REF!,"AAAAABw+eVk=")</f>
        <v>#REF!</v>
      </c>
      <c r="CM10" t="e">
        <f>AND(#REF!,"AAAAABw+eVo=")</f>
        <v>#REF!</v>
      </c>
      <c r="CN10" t="e">
        <f>AND(#REF!,"AAAAABw+eVs=")</f>
        <v>#REF!</v>
      </c>
      <c r="CO10" t="e">
        <f>AND(#REF!,"AAAAABw+eVw=")</f>
        <v>#REF!</v>
      </c>
      <c r="CP10" t="e">
        <f>IF(#REF!,"AAAAABw+eV0=",0)</f>
        <v>#REF!</v>
      </c>
      <c r="CQ10" t="e">
        <f>AND(#REF!,"AAAAABw+eV4=")</f>
        <v>#REF!</v>
      </c>
      <c r="CR10" t="e">
        <f>AND(#REF!,"AAAAABw+eV8=")</f>
        <v>#REF!</v>
      </c>
      <c r="CS10" t="e">
        <f>AND(#REF!,"AAAAABw+eWA=")</f>
        <v>#REF!</v>
      </c>
      <c r="CT10" t="e">
        <f>AND(#REF!,"AAAAABw+eWE=")</f>
        <v>#REF!</v>
      </c>
      <c r="CU10" t="e">
        <f>AND(#REF!,"AAAAABw+eWI=")</f>
        <v>#REF!</v>
      </c>
      <c r="CV10" t="e">
        <f>AND(#REF!,"AAAAABw+eWM=")</f>
        <v>#REF!</v>
      </c>
      <c r="CW10" t="e">
        <f>AND(#REF!,"AAAAABw+eWQ=")</f>
        <v>#REF!</v>
      </c>
      <c r="CX10" t="e">
        <f>AND(#REF!,"AAAAABw+eWU=")</f>
        <v>#REF!</v>
      </c>
      <c r="CY10" t="e">
        <f>AND(#REF!,"AAAAABw+eWY=")</f>
        <v>#REF!</v>
      </c>
      <c r="CZ10" t="e">
        <f>AND(#REF!,"AAAAABw+eWc=")</f>
        <v>#REF!</v>
      </c>
      <c r="DA10" t="e">
        <f>IF(#REF!,"AAAAABw+eWg=",0)</f>
        <v>#REF!</v>
      </c>
      <c r="DB10" t="e">
        <f>AND(#REF!,"AAAAABw+eWk=")</f>
        <v>#REF!</v>
      </c>
      <c r="DC10" t="e">
        <f>AND(#REF!,"AAAAABw+eWo=")</f>
        <v>#REF!</v>
      </c>
      <c r="DD10" t="e">
        <f>AND(#REF!,"AAAAABw+eWs=")</f>
        <v>#REF!</v>
      </c>
      <c r="DE10" t="e">
        <f>AND(#REF!,"AAAAABw+eWw=")</f>
        <v>#REF!</v>
      </c>
      <c r="DF10" t="e">
        <f>AND(#REF!,"AAAAABw+eW0=")</f>
        <v>#REF!</v>
      </c>
      <c r="DG10" t="e">
        <f>AND(#REF!,"AAAAABw+eW4=")</f>
        <v>#REF!</v>
      </c>
      <c r="DH10" t="e">
        <f>AND(#REF!,"AAAAABw+eW8=")</f>
        <v>#REF!</v>
      </c>
      <c r="DI10" t="e">
        <f>AND(#REF!,"AAAAABw+eXA=")</f>
        <v>#REF!</v>
      </c>
      <c r="DJ10" t="e">
        <f>AND(#REF!,"AAAAABw+eXE=")</f>
        <v>#REF!</v>
      </c>
      <c r="DK10" t="e">
        <f>AND(#REF!,"AAAAABw+eXI=")</f>
        <v>#REF!</v>
      </c>
      <c r="DL10" t="e">
        <f>IF(#REF!,"AAAAABw+eXM=",0)</f>
        <v>#REF!</v>
      </c>
      <c r="DM10" t="e">
        <f>AND(#REF!,"AAAAABw+eXQ=")</f>
        <v>#REF!</v>
      </c>
      <c r="DN10" t="e">
        <f>AND(#REF!,"AAAAABw+eXU=")</f>
        <v>#REF!</v>
      </c>
      <c r="DO10" t="e">
        <f>AND(#REF!,"AAAAABw+eXY=")</f>
        <v>#REF!</v>
      </c>
      <c r="DP10" t="e">
        <f>AND(#REF!,"AAAAABw+eXc=")</f>
        <v>#REF!</v>
      </c>
      <c r="DQ10" t="e">
        <f>AND(#REF!,"AAAAABw+eXg=")</f>
        <v>#REF!</v>
      </c>
      <c r="DR10" t="e">
        <f>AND(#REF!,"AAAAABw+eXk=")</f>
        <v>#REF!</v>
      </c>
      <c r="DS10" t="e">
        <f>AND(#REF!,"AAAAABw+eXo=")</f>
        <v>#REF!</v>
      </c>
      <c r="DT10" t="e">
        <f>AND(#REF!,"AAAAABw+eXs=")</f>
        <v>#REF!</v>
      </c>
      <c r="DU10" t="e">
        <f>AND(#REF!,"AAAAABw+eXw=")</f>
        <v>#REF!</v>
      </c>
      <c r="DV10" t="e">
        <f>AND(#REF!,"AAAAABw+eX0=")</f>
        <v>#REF!</v>
      </c>
      <c r="DW10" t="e">
        <f>IF(#REF!,"AAAAABw+eX4=",0)</f>
        <v>#REF!</v>
      </c>
      <c r="DX10" t="e">
        <f>AND(#REF!,"AAAAABw+eX8=")</f>
        <v>#REF!</v>
      </c>
      <c r="DY10" t="e">
        <f>AND(#REF!,"AAAAABw+eYA=")</f>
        <v>#REF!</v>
      </c>
      <c r="DZ10" t="e">
        <f>AND(#REF!,"AAAAABw+eYE=")</f>
        <v>#REF!</v>
      </c>
      <c r="EA10" t="e">
        <f>AND(#REF!,"AAAAABw+eYI=")</f>
        <v>#REF!</v>
      </c>
      <c r="EB10" t="e">
        <f>AND(#REF!,"AAAAABw+eYM=")</f>
        <v>#REF!</v>
      </c>
      <c r="EC10" t="e">
        <f>AND(#REF!,"AAAAABw+eYQ=")</f>
        <v>#REF!</v>
      </c>
      <c r="ED10" t="e">
        <f>AND(#REF!,"AAAAABw+eYU=")</f>
        <v>#REF!</v>
      </c>
      <c r="EE10" t="e">
        <f>AND(#REF!,"AAAAABw+eYY=")</f>
        <v>#REF!</v>
      </c>
      <c r="EF10" t="e">
        <f>AND(#REF!,"AAAAABw+eYc=")</f>
        <v>#REF!</v>
      </c>
      <c r="EG10" t="e">
        <f>AND(#REF!,"AAAAABw+eYg=")</f>
        <v>#REF!</v>
      </c>
      <c r="EH10" t="e">
        <f>IF(#REF!,"AAAAABw+eYk=",0)</f>
        <v>#REF!</v>
      </c>
      <c r="EI10" t="e">
        <f>AND(#REF!,"AAAAABw+eYo=")</f>
        <v>#REF!</v>
      </c>
      <c r="EJ10" t="e">
        <f>AND(#REF!,"AAAAABw+eYs=")</f>
        <v>#REF!</v>
      </c>
      <c r="EK10" t="e">
        <f>AND(#REF!,"AAAAABw+eYw=")</f>
        <v>#REF!</v>
      </c>
      <c r="EL10" t="e">
        <f>AND(#REF!,"AAAAABw+eY0=")</f>
        <v>#REF!</v>
      </c>
      <c r="EM10" t="e">
        <f>AND(#REF!,"AAAAABw+eY4=")</f>
        <v>#REF!</v>
      </c>
      <c r="EN10" t="e">
        <f>AND(#REF!,"AAAAABw+eY8=")</f>
        <v>#REF!</v>
      </c>
      <c r="EO10" t="e">
        <f>AND(#REF!,"AAAAABw+eZA=")</f>
        <v>#REF!</v>
      </c>
      <c r="EP10" t="e">
        <f>AND(#REF!,"AAAAABw+eZE=")</f>
        <v>#REF!</v>
      </c>
      <c r="EQ10" t="e">
        <f>AND(#REF!,"AAAAABw+eZI=")</f>
        <v>#REF!</v>
      </c>
      <c r="ER10" t="e">
        <f>AND(#REF!,"AAAAABw+eZM=")</f>
        <v>#REF!</v>
      </c>
      <c r="ES10" t="e">
        <f>IF(#REF!,"AAAAABw+eZQ=",0)</f>
        <v>#REF!</v>
      </c>
      <c r="ET10" t="e">
        <f>AND(#REF!,"AAAAABw+eZU=")</f>
        <v>#REF!</v>
      </c>
      <c r="EU10" t="e">
        <f>AND(#REF!,"AAAAABw+eZY=")</f>
        <v>#REF!</v>
      </c>
      <c r="EV10" t="e">
        <f>AND(#REF!,"AAAAABw+eZc=")</f>
        <v>#REF!</v>
      </c>
      <c r="EW10" t="e">
        <f>AND(#REF!,"AAAAABw+eZg=")</f>
        <v>#REF!</v>
      </c>
      <c r="EX10" t="e">
        <f>AND(#REF!,"AAAAABw+eZk=")</f>
        <v>#REF!</v>
      </c>
      <c r="EY10" t="e">
        <f>AND(#REF!,"AAAAABw+eZo=")</f>
        <v>#REF!</v>
      </c>
      <c r="EZ10" t="e">
        <f>AND(#REF!,"AAAAABw+eZs=")</f>
        <v>#REF!</v>
      </c>
      <c r="FA10" t="e">
        <f>AND(#REF!,"AAAAABw+eZw=")</f>
        <v>#REF!</v>
      </c>
      <c r="FB10" t="e">
        <f>AND(#REF!,"AAAAABw+eZ0=")</f>
        <v>#REF!</v>
      </c>
      <c r="FC10" t="e">
        <f>AND(#REF!,"AAAAABw+eZ4=")</f>
        <v>#REF!</v>
      </c>
      <c r="FD10" t="e">
        <f>IF(#REF!,"AAAAABw+eZ8=",0)</f>
        <v>#REF!</v>
      </c>
      <c r="FE10" t="e">
        <f>AND(#REF!,"AAAAABw+eaA=")</f>
        <v>#REF!</v>
      </c>
      <c r="FF10" t="e">
        <f>AND(#REF!,"AAAAABw+eaE=")</f>
        <v>#REF!</v>
      </c>
      <c r="FG10" t="e">
        <f>AND(#REF!,"AAAAABw+eaI=")</f>
        <v>#REF!</v>
      </c>
      <c r="FH10" t="e">
        <f>AND(#REF!,"AAAAABw+eaM=")</f>
        <v>#REF!</v>
      </c>
      <c r="FI10" t="e">
        <f>AND(#REF!,"AAAAABw+eaQ=")</f>
        <v>#REF!</v>
      </c>
      <c r="FJ10" t="e">
        <f>AND(#REF!,"AAAAABw+eaU=")</f>
        <v>#REF!</v>
      </c>
      <c r="FK10" t="e">
        <f>AND(#REF!,"AAAAABw+eaY=")</f>
        <v>#REF!</v>
      </c>
      <c r="FL10" t="e">
        <f>AND(#REF!,"AAAAABw+eac=")</f>
        <v>#REF!</v>
      </c>
      <c r="FM10" t="e">
        <f>AND(#REF!,"AAAAABw+eag=")</f>
        <v>#REF!</v>
      </c>
      <c r="FN10" t="e">
        <f>AND(#REF!,"AAAAABw+eak=")</f>
        <v>#REF!</v>
      </c>
      <c r="FO10" t="e">
        <f>IF(#REF!,"AAAAABw+eao=",0)</f>
        <v>#REF!</v>
      </c>
      <c r="FP10" t="e">
        <f>AND(#REF!,"AAAAABw+eas=")</f>
        <v>#REF!</v>
      </c>
      <c r="FQ10" t="e">
        <f>AND(#REF!,"AAAAABw+eaw=")</f>
        <v>#REF!</v>
      </c>
      <c r="FR10" t="e">
        <f>AND(#REF!,"AAAAABw+ea0=")</f>
        <v>#REF!</v>
      </c>
      <c r="FS10" t="e">
        <f>AND(#REF!,"AAAAABw+ea4=")</f>
        <v>#REF!</v>
      </c>
      <c r="FT10" t="e">
        <f>AND(#REF!,"AAAAABw+ea8=")</f>
        <v>#REF!</v>
      </c>
      <c r="FU10" t="e">
        <f>AND(#REF!,"AAAAABw+ebA=")</f>
        <v>#REF!</v>
      </c>
      <c r="FV10" t="e">
        <f>AND(#REF!,"AAAAABw+ebE=")</f>
        <v>#REF!</v>
      </c>
      <c r="FW10" t="e">
        <f>AND(#REF!,"AAAAABw+ebI=")</f>
        <v>#REF!</v>
      </c>
      <c r="FX10" t="e">
        <f>AND(#REF!,"AAAAABw+ebM=")</f>
        <v>#REF!</v>
      </c>
      <c r="FY10" t="e">
        <f>AND(#REF!,"AAAAABw+ebQ=")</f>
        <v>#REF!</v>
      </c>
      <c r="FZ10" t="e">
        <f>IF(#REF!,"AAAAABw+ebU=",0)</f>
        <v>#REF!</v>
      </c>
      <c r="GA10" t="e">
        <f>AND(#REF!,"AAAAABw+ebY=")</f>
        <v>#REF!</v>
      </c>
      <c r="GB10" t="e">
        <f>AND(#REF!,"AAAAABw+ebc=")</f>
        <v>#REF!</v>
      </c>
      <c r="GC10" t="e">
        <f>AND(#REF!,"AAAAABw+ebg=")</f>
        <v>#REF!</v>
      </c>
      <c r="GD10" t="e">
        <f>AND(#REF!,"AAAAABw+ebk=")</f>
        <v>#REF!</v>
      </c>
      <c r="GE10" t="e">
        <f>AND(#REF!,"AAAAABw+ebo=")</f>
        <v>#REF!</v>
      </c>
      <c r="GF10" t="e">
        <f>AND(#REF!,"AAAAABw+ebs=")</f>
        <v>#REF!</v>
      </c>
      <c r="GG10" t="e">
        <f>AND(#REF!,"AAAAABw+ebw=")</f>
        <v>#REF!</v>
      </c>
      <c r="GH10" t="e">
        <f>AND(#REF!,"AAAAABw+eb0=")</f>
        <v>#REF!</v>
      </c>
      <c r="GI10" t="e">
        <f>AND(#REF!,"AAAAABw+eb4=")</f>
        <v>#REF!</v>
      </c>
      <c r="GJ10" t="e">
        <f>AND(#REF!,"AAAAABw+eb8=")</f>
        <v>#REF!</v>
      </c>
      <c r="GK10" t="e">
        <f>IF(#REF!,"AAAAABw+ecA=",0)</f>
        <v>#REF!</v>
      </c>
      <c r="GL10" t="e">
        <f>AND(#REF!,"AAAAABw+ecE=")</f>
        <v>#REF!</v>
      </c>
      <c r="GM10" t="e">
        <f>AND(#REF!,"AAAAABw+ecI=")</f>
        <v>#REF!</v>
      </c>
      <c r="GN10" t="e">
        <f>AND(#REF!,"AAAAABw+ecM=")</f>
        <v>#REF!</v>
      </c>
      <c r="GO10" t="e">
        <f>AND(#REF!,"AAAAABw+ecQ=")</f>
        <v>#REF!</v>
      </c>
      <c r="GP10" t="e">
        <f>AND(#REF!,"AAAAABw+ecU=")</f>
        <v>#REF!</v>
      </c>
      <c r="GQ10" t="e">
        <f>AND(#REF!,"AAAAABw+ecY=")</f>
        <v>#REF!</v>
      </c>
      <c r="GR10" t="e">
        <f>AND(#REF!,"AAAAABw+ecc=")</f>
        <v>#REF!</v>
      </c>
      <c r="GS10" t="e">
        <f>AND(#REF!,"AAAAABw+ecg=")</f>
        <v>#REF!</v>
      </c>
      <c r="GT10" t="e">
        <f>AND(#REF!,"AAAAABw+eck=")</f>
        <v>#REF!</v>
      </c>
      <c r="GU10" t="e">
        <f>AND(#REF!,"AAAAABw+eco=")</f>
        <v>#REF!</v>
      </c>
      <c r="GV10" t="e">
        <f>IF(#REF!,"AAAAABw+ecs=",0)</f>
        <v>#REF!</v>
      </c>
      <c r="GW10" t="e">
        <f>AND(#REF!,"AAAAABw+ecw=")</f>
        <v>#REF!</v>
      </c>
      <c r="GX10" t="e">
        <f>AND(#REF!,"AAAAABw+ec0=")</f>
        <v>#REF!</v>
      </c>
      <c r="GY10" t="e">
        <f>AND(#REF!,"AAAAABw+ec4=")</f>
        <v>#REF!</v>
      </c>
      <c r="GZ10" t="e">
        <f>AND(#REF!,"AAAAABw+ec8=")</f>
        <v>#REF!</v>
      </c>
      <c r="HA10" t="e">
        <f>AND(#REF!,"AAAAABw+edA=")</f>
        <v>#REF!</v>
      </c>
      <c r="HB10" t="e">
        <f>AND(#REF!,"AAAAABw+edE=")</f>
        <v>#REF!</v>
      </c>
      <c r="HC10" t="e">
        <f>AND(#REF!,"AAAAABw+edI=")</f>
        <v>#REF!</v>
      </c>
      <c r="HD10" t="e">
        <f>AND(#REF!,"AAAAABw+edM=")</f>
        <v>#REF!</v>
      </c>
      <c r="HE10" t="e">
        <f>AND(#REF!,"AAAAABw+edQ=")</f>
        <v>#REF!</v>
      </c>
      <c r="HF10" t="e">
        <f>AND(#REF!,"AAAAABw+edU=")</f>
        <v>#REF!</v>
      </c>
      <c r="HG10" t="e">
        <f>IF(#REF!,"AAAAABw+edY=",0)</f>
        <v>#REF!</v>
      </c>
      <c r="HH10" t="e">
        <f>AND(#REF!,"AAAAABw+edc=")</f>
        <v>#REF!</v>
      </c>
      <c r="HI10" t="e">
        <f>AND(#REF!,"AAAAABw+edg=")</f>
        <v>#REF!</v>
      </c>
      <c r="HJ10" t="e">
        <f>AND(#REF!,"AAAAABw+edk=")</f>
        <v>#REF!</v>
      </c>
      <c r="HK10" t="e">
        <f>AND(#REF!,"AAAAABw+edo=")</f>
        <v>#REF!</v>
      </c>
      <c r="HL10" t="e">
        <f>AND(#REF!,"AAAAABw+eds=")</f>
        <v>#REF!</v>
      </c>
      <c r="HM10" t="e">
        <f>AND(#REF!,"AAAAABw+edw=")</f>
        <v>#REF!</v>
      </c>
      <c r="HN10" t="e">
        <f>AND(#REF!,"AAAAABw+ed0=")</f>
        <v>#REF!</v>
      </c>
      <c r="HO10" t="e">
        <f>AND(#REF!,"AAAAABw+ed4=")</f>
        <v>#REF!</v>
      </c>
      <c r="HP10" t="e">
        <f>AND(#REF!,"AAAAABw+ed8=")</f>
        <v>#REF!</v>
      </c>
      <c r="HQ10" t="e">
        <f>AND(#REF!,"AAAAABw+eeA=")</f>
        <v>#REF!</v>
      </c>
      <c r="HR10" t="e">
        <f>IF(#REF!,"AAAAABw+eeE=",0)</f>
        <v>#REF!</v>
      </c>
      <c r="HS10" t="e">
        <f>AND(#REF!,"AAAAABw+eeI=")</f>
        <v>#REF!</v>
      </c>
      <c r="HT10" t="e">
        <f>AND(#REF!,"AAAAABw+eeM=")</f>
        <v>#REF!</v>
      </c>
      <c r="HU10" t="e">
        <f>AND(#REF!,"AAAAABw+eeQ=")</f>
        <v>#REF!</v>
      </c>
      <c r="HV10" t="e">
        <f>AND(#REF!,"AAAAABw+eeU=")</f>
        <v>#REF!</v>
      </c>
      <c r="HW10" t="e">
        <f>AND(#REF!,"AAAAABw+eeY=")</f>
        <v>#REF!</v>
      </c>
      <c r="HX10" t="e">
        <f>AND(#REF!,"AAAAABw+eec=")</f>
        <v>#REF!</v>
      </c>
      <c r="HY10" t="e">
        <f>AND(#REF!,"AAAAABw+eeg=")</f>
        <v>#REF!</v>
      </c>
      <c r="HZ10" t="e">
        <f>AND(#REF!,"AAAAABw+eek=")</f>
        <v>#REF!</v>
      </c>
      <c r="IA10" t="e">
        <f>AND(#REF!,"AAAAABw+eeo=")</f>
        <v>#REF!</v>
      </c>
      <c r="IB10" t="e">
        <f>AND(#REF!,"AAAAABw+ees=")</f>
        <v>#REF!</v>
      </c>
      <c r="IC10" t="e">
        <f>IF(#REF!,"AAAAABw+eew=",0)</f>
        <v>#REF!</v>
      </c>
      <c r="ID10" t="e">
        <f>AND(#REF!,"AAAAABw+ee0=")</f>
        <v>#REF!</v>
      </c>
      <c r="IE10" t="e">
        <f>AND(#REF!,"AAAAABw+ee4=")</f>
        <v>#REF!</v>
      </c>
      <c r="IF10" t="e">
        <f>AND(#REF!,"AAAAABw+ee8=")</f>
        <v>#REF!</v>
      </c>
      <c r="IG10" t="e">
        <f>AND(#REF!,"AAAAABw+efA=")</f>
        <v>#REF!</v>
      </c>
      <c r="IH10" t="e">
        <f>AND(#REF!,"AAAAABw+efE=")</f>
        <v>#REF!</v>
      </c>
      <c r="II10" t="e">
        <f>AND(#REF!,"AAAAABw+efI=")</f>
        <v>#REF!</v>
      </c>
      <c r="IJ10" t="e">
        <f>AND(#REF!,"AAAAABw+efM=")</f>
        <v>#REF!</v>
      </c>
      <c r="IK10" t="e">
        <f>AND(#REF!,"AAAAABw+efQ=")</f>
        <v>#REF!</v>
      </c>
      <c r="IL10" t="e">
        <f>AND(#REF!,"AAAAABw+efU=")</f>
        <v>#REF!</v>
      </c>
      <c r="IM10" t="e">
        <f>AND(#REF!,"AAAAABw+efY=")</f>
        <v>#REF!</v>
      </c>
      <c r="IN10" t="e">
        <f>IF(#REF!,"AAAAABw+efc=",0)</f>
        <v>#REF!</v>
      </c>
      <c r="IO10" t="e">
        <f>AND(#REF!,"AAAAABw+efg=")</f>
        <v>#REF!</v>
      </c>
      <c r="IP10" t="e">
        <f>AND(#REF!,"AAAAABw+efk=")</f>
        <v>#REF!</v>
      </c>
      <c r="IQ10" t="e">
        <f>AND(#REF!,"AAAAABw+efo=")</f>
        <v>#REF!</v>
      </c>
      <c r="IR10" t="e">
        <f>AND(#REF!,"AAAAABw+efs=")</f>
        <v>#REF!</v>
      </c>
      <c r="IS10" t="e">
        <f>AND(#REF!,"AAAAABw+efw=")</f>
        <v>#REF!</v>
      </c>
      <c r="IT10" t="e">
        <f>AND(#REF!,"AAAAABw+ef0=")</f>
        <v>#REF!</v>
      </c>
      <c r="IU10" t="e">
        <f>AND(#REF!,"AAAAABw+ef4=")</f>
        <v>#REF!</v>
      </c>
      <c r="IV10" t="e">
        <f>AND(#REF!,"AAAAABw+ef8=")</f>
        <v>#REF!</v>
      </c>
    </row>
    <row r="11" spans="1:243" x14ac:dyDescent="0.25">
      <c r="A11" t="e">
        <f>AND(#REF!,"AAAAABd//wA=")</f>
        <v>#REF!</v>
      </c>
      <c r="B11" t="e">
        <f>AND(#REF!,"AAAAABd//wE=")</f>
        <v>#REF!</v>
      </c>
      <c r="C11" t="e">
        <f>IF(#REF!,"AAAAABd//wI=",0)</f>
        <v>#REF!</v>
      </c>
      <c r="D11" t="e">
        <f>AND(#REF!,"AAAAABd//wM=")</f>
        <v>#REF!</v>
      </c>
      <c r="E11" t="e">
        <f>AND(#REF!,"AAAAABd//wQ=")</f>
        <v>#REF!</v>
      </c>
      <c r="F11" t="e">
        <f>AND(#REF!,"AAAAABd//wU=")</f>
        <v>#REF!</v>
      </c>
      <c r="G11" t="e">
        <f>AND(#REF!,"AAAAABd//wY=")</f>
        <v>#REF!</v>
      </c>
      <c r="H11" t="e">
        <f>AND(#REF!,"AAAAABd//wc=")</f>
        <v>#REF!</v>
      </c>
      <c r="I11" t="e">
        <f>AND(#REF!,"AAAAABd//wg=")</f>
        <v>#REF!</v>
      </c>
      <c r="J11" t="e">
        <f>AND(#REF!,"AAAAABd//wk=")</f>
        <v>#REF!</v>
      </c>
      <c r="K11" t="e">
        <f>AND(#REF!,"AAAAABd//wo=")</f>
        <v>#REF!</v>
      </c>
      <c r="L11" t="e">
        <f>AND(#REF!,"AAAAABd//ws=")</f>
        <v>#REF!</v>
      </c>
      <c r="M11" t="e">
        <f>AND(#REF!,"AAAAABd//ww=")</f>
        <v>#REF!</v>
      </c>
      <c r="N11" t="e">
        <f>IF(#REF!,"AAAAABd//w0=",0)</f>
        <v>#REF!</v>
      </c>
      <c r="O11" t="e">
        <f>AND(#REF!,"AAAAABd//w4=")</f>
        <v>#REF!</v>
      </c>
      <c r="P11" t="e">
        <f>AND(#REF!,"AAAAABd//w8=")</f>
        <v>#REF!</v>
      </c>
      <c r="Q11" t="e">
        <f>AND(#REF!,"AAAAABd//xA=")</f>
        <v>#REF!</v>
      </c>
      <c r="R11" t="e">
        <f>AND(#REF!,"AAAAABd//xE=")</f>
        <v>#REF!</v>
      </c>
      <c r="S11" t="e">
        <f>AND(#REF!,"AAAAABd//xI=")</f>
        <v>#REF!</v>
      </c>
      <c r="T11" t="e">
        <f>AND(#REF!,"AAAAABd//xM=")</f>
        <v>#REF!</v>
      </c>
      <c r="U11" t="e">
        <f>AND(#REF!,"AAAAABd//xQ=")</f>
        <v>#REF!</v>
      </c>
      <c r="V11" t="e">
        <f>AND(#REF!,"AAAAABd//xU=")</f>
        <v>#REF!</v>
      </c>
      <c r="W11" t="e">
        <f>AND(#REF!,"AAAAABd//xY=")</f>
        <v>#REF!</v>
      </c>
      <c r="X11" t="e">
        <f>AND(#REF!,"AAAAABd//xc=")</f>
        <v>#REF!</v>
      </c>
      <c r="Y11" t="e">
        <f>IF(#REF!,"AAAAABd//xg=",0)</f>
        <v>#REF!</v>
      </c>
      <c r="Z11" t="e">
        <f>AND(#REF!,"AAAAABd//xk=")</f>
        <v>#REF!</v>
      </c>
      <c r="AA11" t="e">
        <f>AND(#REF!,"AAAAABd//xo=")</f>
        <v>#REF!</v>
      </c>
      <c r="AB11" t="e">
        <f>AND(#REF!,"AAAAABd//xs=")</f>
        <v>#REF!</v>
      </c>
      <c r="AC11" t="e">
        <f>AND(#REF!,"AAAAABd//xw=")</f>
        <v>#REF!</v>
      </c>
      <c r="AD11" t="e">
        <f>AND(#REF!,"AAAAABd//x0=")</f>
        <v>#REF!</v>
      </c>
      <c r="AE11" t="e">
        <f>AND(#REF!,"AAAAABd//x4=")</f>
        <v>#REF!</v>
      </c>
      <c r="AF11" t="e">
        <f>AND(#REF!,"AAAAABd//x8=")</f>
        <v>#REF!</v>
      </c>
      <c r="AG11" t="e">
        <f>AND(#REF!,"AAAAABd//yA=")</f>
        <v>#REF!</v>
      </c>
      <c r="AH11" t="e">
        <f>AND(#REF!,"AAAAABd//yE=")</f>
        <v>#REF!</v>
      </c>
      <c r="AI11" t="e">
        <f>AND(#REF!,"AAAAABd//yI=")</f>
        <v>#REF!</v>
      </c>
      <c r="AJ11" t="e">
        <f>IF(#REF!,"AAAAABd//yM=",0)</f>
        <v>#REF!</v>
      </c>
      <c r="AK11" t="e">
        <f>AND(#REF!,"AAAAABd//yQ=")</f>
        <v>#REF!</v>
      </c>
      <c r="AL11" t="e">
        <f>AND(#REF!,"AAAAABd//yU=")</f>
        <v>#REF!</v>
      </c>
      <c r="AM11" t="e">
        <f>AND(#REF!,"AAAAABd//yY=")</f>
        <v>#REF!</v>
      </c>
      <c r="AN11" t="e">
        <f>AND(#REF!,"AAAAABd//yc=")</f>
        <v>#REF!</v>
      </c>
      <c r="AO11" t="e">
        <f>AND(#REF!,"AAAAABd//yg=")</f>
        <v>#REF!</v>
      </c>
      <c r="AP11" t="e">
        <f>AND(#REF!,"AAAAABd//yk=")</f>
        <v>#REF!</v>
      </c>
      <c r="AQ11" t="e">
        <f>AND(#REF!,"AAAAABd//yo=")</f>
        <v>#REF!</v>
      </c>
      <c r="AR11" t="e">
        <f>AND(#REF!,"AAAAABd//ys=")</f>
        <v>#REF!</v>
      </c>
      <c r="AS11" t="e">
        <f>AND(#REF!,"AAAAABd//yw=")</f>
        <v>#REF!</v>
      </c>
      <c r="AT11" t="e">
        <f>AND(#REF!,"AAAAABd//y0=")</f>
        <v>#REF!</v>
      </c>
      <c r="AU11" t="e">
        <f>IF(#REF!,"AAAAABd//y4=",0)</f>
        <v>#REF!</v>
      </c>
      <c r="AV11" t="e">
        <f>AND(#REF!,"AAAAABd//y8=")</f>
        <v>#REF!</v>
      </c>
      <c r="AW11" t="e">
        <f>AND(#REF!,"AAAAABd//zA=")</f>
        <v>#REF!</v>
      </c>
      <c r="AX11" t="e">
        <f>AND(#REF!,"AAAAABd//zE=")</f>
        <v>#REF!</v>
      </c>
      <c r="AY11" t="e">
        <f>AND(#REF!,"AAAAABd//zI=")</f>
        <v>#REF!</v>
      </c>
      <c r="AZ11" t="e">
        <f>AND(#REF!,"AAAAABd//zM=")</f>
        <v>#REF!</v>
      </c>
      <c r="BA11" t="e">
        <f>AND(#REF!,"AAAAABd//zQ=")</f>
        <v>#REF!</v>
      </c>
      <c r="BB11" t="e">
        <f>AND(#REF!,"AAAAABd//zU=")</f>
        <v>#REF!</v>
      </c>
      <c r="BC11" t="e">
        <f>AND(#REF!,"AAAAABd//zY=")</f>
        <v>#REF!</v>
      </c>
      <c r="BD11" t="e">
        <f>AND(#REF!,"AAAAABd//zc=")</f>
        <v>#REF!</v>
      </c>
      <c r="BE11" t="e">
        <f>AND(#REF!,"AAAAABd//zg=")</f>
        <v>#REF!</v>
      </c>
      <c r="BF11" t="e">
        <f>IF(#REF!,"AAAAABd//zk=",0)</f>
        <v>#REF!</v>
      </c>
      <c r="BG11" t="e">
        <f>AND(#REF!,"AAAAABd//zo=")</f>
        <v>#REF!</v>
      </c>
      <c r="BH11" t="e">
        <f>AND(#REF!,"AAAAABd//zs=")</f>
        <v>#REF!</v>
      </c>
      <c r="BI11" t="e">
        <f>AND(#REF!,"AAAAABd//zw=")</f>
        <v>#REF!</v>
      </c>
      <c r="BJ11" t="e">
        <f>AND(#REF!,"AAAAABd//z0=")</f>
        <v>#REF!</v>
      </c>
      <c r="BK11" t="e">
        <f>AND(#REF!,"AAAAABd//z4=")</f>
        <v>#REF!</v>
      </c>
      <c r="BL11" t="e">
        <f>AND(#REF!,"AAAAABd//z8=")</f>
        <v>#REF!</v>
      </c>
      <c r="BM11" t="e">
        <f>AND(#REF!,"AAAAABd//0A=")</f>
        <v>#REF!</v>
      </c>
      <c r="BN11" t="e">
        <f>AND(#REF!,"AAAAABd//0E=")</f>
        <v>#REF!</v>
      </c>
      <c r="BO11" t="e">
        <f>AND(#REF!,"AAAAABd//0I=")</f>
        <v>#REF!</v>
      </c>
      <c r="BP11" t="e">
        <f>AND(#REF!,"AAAAABd//0M=")</f>
        <v>#REF!</v>
      </c>
      <c r="BQ11" t="e">
        <f>IF(#REF!,"AAAAABd//0Q=",0)</f>
        <v>#REF!</v>
      </c>
      <c r="BR11" t="e">
        <f>AND(#REF!,"AAAAABd//0U=")</f>
        <v>#REF!</v>
      </c>
      <c r="BS11" t="e">
        <f>AND(#REF!,"AAAAABd//0Y=")</f>
        <v>#REF!</v>
      </c>
      <c r="BT11" t="e">
        <f>AND(#REF!,"AAAAABd//0c=")</f>
        <v>#REF!</v>
      </c>
      <c r="BU11" t="e">
        <f>AND(#REF!,"AAAAABd//0g=")</f>
        <v>#REF!</v>
      </c>
      <c r="BV11" t="e">
        <f>AND(#REF!,"AAAAABd//0k=")</f>
        <v>#REF!</v>
      </c>
      <c r="BW11" t="e">
        <f>AND(#REF!,"AAAAABd//0o=")</f>
        <v>#REF!</v>
      </c>
      <c r="BX11" t="e">
        <f>AND(#REF!,"AAAAABd//0s=")</f>
        <v>#REF!</v>
      </c>
      <c r="BY11" t="e">
        <f>AND(#REF!,"AAAAABd//0w=")</f>
        <v>#REF!</v>
      </c>
      <c r="BZ11" t="e">
        <f>AND(#REF!,"AAAAABd//00=")</f>
        <v>#REF!</v>
      </c>
      <c r="CA11" t="e">
        <f>AND(#REF!,"AAAAABd//04=")</f>
        <v>#REF!</v>
      </c>
      <c r="CB11" t="e">
        <f>IF(#REF!,"AAAAABd//08=",0)</f>
        <v>#REF!</v>
      </c>
      <c r="CC11" t="e">
        <f>AND(#REF!,"AAAAABd//1A=")</f>
        <v>#REF!</v>
      </c>
      <c r="CD11" t="e">
        <f>AND(#REF!,"AAAAABd//1E=")</f>
        <v>#REF!</v>
      </c>
      <c r="CE11" t="e">
        <f>AND(#REF!,"AAAAABd//1I=")</f>
        <v>#REF!</v>
      </c>
      <c r="CF11" t="e">
        <f>AND(#REF!,"AAAAABd//1M=")</f>
        <v>#REF!</v>
      </c>
      <c r="CG11" t="e">
        <f>AND(#REF!,"AAAAABd//1Q=")</f>
        <v>#REF!</v>
      </c>
      <c r="CH11" t="e">
        <f>AND(#REF!,"AAAAABd//1U=")</f>
        <v>#REF!</v>
      </c>
      <c r="CI11" t="e">
        <f>AND(#REF!,"AAAAABd//1Y=")</f>
        <v>#REF!</v>
      </c>
      <c r="CJ11" t="e">
        <f>AND(#REF!,"AAAAABd//1c=")</f>
        <v>#REF!</v>
      </c>
      <c r="CK11" t="e">
        <f>AND(#REF!,"AAAAABd//1g=")</f>
        <v>#REF!</v>
      </c>
      <c r="CL11" t="e">
        <f>AND(#REF!,"AAAAABd//1k=")</f>
        <v>#REF!</v>
      </c>
      <c r="CM11" t="e">
        <f>IF(#REF!,"AAAAABd//1o=",0)</f>
        <v>#REF!</v>
      </c>
      <c r="CN11" t="e">
        <f>AND(#REF!,"AAAAABd//1s=")</f>
        <v>#REF!</v>
      </c>
      <c r="CO11" t="e">
        <f>AND(#REF!,"AAAAABd//1w=")</f>
        <v>#REF!</v>
      </c>
      <c r="CP11" t="e">
        <f>AND(#REF!,"AAAAABd//10=")</f>
        <v>#REF!</v>
      </c>
      <c r="CQ11" t="e">
        <f>AND(#REF!,"AAAAABd//14=")</f>
        <v>#REF!</v>
      </c>
      <c r="CR11" t="e">
        <f>AND(#REF!,"AAAAABd//18=")</f>
        <v>#REF!</v>
      </c>
      <c r="CS11" t="e">
        <f>AND(#REF!,"AAAAABd//2A=")</f>
        <v>#REF!</v>
      </c>
      <c r="CT11" t="e">
        <f>AND(#REF!,"AAAAABd//2E=")</f>
        <v>#REF!</v>
      </c>
      <c r="CU11" t="e">
        <f>AND(#REF!,"AAAAABd//2I=")</f>
        <v>#REF!</v>
      </c>
      <c r="CV11" t="e">
        <f>AND(#REF!,"AAAAABd//2M=")</f>
        <v>#REF!</v>
      </c>
      <c r="CW11" t="e">
        <f>AND(#REF!,"AAAAABd//2Q=")</f>
        <v>#REF!</v>
      </c>
      <c r="CX11" t="e">
        <f>IF(#REF!,"AAAAABd//2U=",0)</f>
        <v>#REF!</v>
      </c>
      <c r="CY11" t="e">
        <f>AND(#REF!,"AAAAABd//2Y=")</f>
        <v>#REF!</v>
      </c>
      <c r="CZ11" t="e">
        <f>AND(#REF!,"AAAAABd//2c=")</f>
        <v>#REF!</v>
      </c>
      <c r="DA11" t="e">
        <f>AND(#REF!,"AAAAABd//2g=")</f>
        <v>#REF!</v>
      </c>
      <c r="DB11" t="e">
        <f>AND(#REF!,"AAAAABd//2k=")</f>
        <v>#REF!</v>
      </c>
      <c r="DC11" t="e">
        <f>AND(#REF!,"AAAAABd//2o=")</f>
        <v>#REF!</v>
      </c>
      <c r="DD11" t="e">
        <f>AND(#REF!,"AAAAABd//2s=")</f>
        <v>#REF!</v>
      </c>
      <c r="DE11" t="e">
        <f>AND(#REF!,"AAAAABd//2w=")</f>
        <v>#REF!</v>
      </c>
      <c r="DF11" t="e">
        <f>AND(#REF!,"AAAAABd//20=")</f>
        <v>#REF!</v>
      </c>
      <c r="DG11" t="e">
        <f>AND(#REF!,"AAAAABd//24=")</f>
        <v>#REF!</v>
      </c>
      <c r="DH11" t="e">
        <f>AND(#REF!,"AAAAABd//28=")</f>
        <v>#REF!</v>
      </c>
      <c r="DI11" t="e">
        <f>IF(#REF!,"AAAAABd//3A=",0)</f>
        <v>#REF!</v>
      </c>
      <c r="DJ11" t="e">
        <f>AND(#REF!,"AAAAABd//3E=")</f>
        <v>#REF!</v>
      </c>
      <c r="DK11" t="e">
        <f>AND(#REF!,"AAAAABd//3I=")</f>
        <v>#REF!</v>
      </c>
      <c r="DL11" t="e">
        <f>AND(#REF!,"AAAAABd//3M=")</f>
        <v>#REF!</v>
      </c>
      <c r="DM11" t="e">
        <f>AND(#REF!,"AAAAABd//3Q=")</f>
        <v>#REF!</v>
      </c>
      <c r="DN11" t="e">
        <f>AND(#REF!,"AAAAABd//3U=")</f>
        <v>#REF!</v>
      </c>
      <c r="DO11" t="e">
        <f>AND(#REF!,"AAAAABd//3Y=")</f>
        <v>#REF!</v>
      </c>
      <c r="DP11" t="e">
        <f>AND(#REF!,"AAAAABd//3c=")</f>
        <v>#REF!</v>
      </c>
      <c r="DQ11" t="e">
        <f>AND(#REF!,"AAAAABd//3g=")</f>
        <v>#REF!</v>
      </c>
      <c r="DR11" t="e">
        <f>AND(#REF!,"AAAAABd//3k=")</f>
        <v>#REF!</v>
      </c>
      <c r="DS11" t="e">
        <f>AND(#REF!,"AAAAABd//3o=")</f>
        <v>#REF!</v>
      </c>
      <c r="DT11" t="e">
        <f>IF(#REF!,"AAAAABd//3s=",0)</f>
        <v>#REF!</v>
      </c>
      <c r="DU11" t="e">
        <f>AND(#REF!,"AAAAABd//3w=")</f>
        <v>#REF!</v>
      </c>
      <c r="DV11" t="e">
        <f>AND(#REF!,"AAAAABd//30=")</f>
        <v>#REF!</v>
      </c>
      <c r="DW11" t="e">
        <f>AND(#REF!,"AAAAABd//34=")</f>
        <v>#REF!</v>
      </c>
      <c r="DX11" t="e">
        <f>AND(#REF!,"AAAAABd//38=")</f>
        <v>#REF!</v>
      </c>
      <c r="DY11" t="e">
        <f>AND(#REF!,"AAAAABd//4A=")</f>
        <v>#REF!</v>
      </c>
      <c r="DZ11" t="e">
        <f>AND(#REF!,"AAAAABd//4E=")</f>
        <v>#REF!</v>
      </c>
      <c r="EA11" t="e">
        <f>AND(#REF!,"AAAAABd//4I=")</f>
        <v>#REF!</v>
      </c>
      <c r="EB11" t="e">
        <f>AND(#REF!,"AAAAABd//4M=")</f>
        <v>#REF!</v>
      </c>
      <c r="EC11" t="e">
        <f>AND(#REF!,"AAAAABd//4Q=")</f>
        <v>#REF!</v>
      </c>
      <c r="ED11" t="e">
        <f>AND(#REF!,"AAAAABd//4U=")</f>
        <v>#REF!</v>
      </c>
      <c r="EE11" t="e">
        <f>IF(#REF!,"AAAAABd//4Y=",0)</f>
        <v>#REF!</v>
      </c>
      <c r="EF11" t="e">
        <f>AND(#REF!,"AAAAABd//4c=")</f>
        <v>#REF!</v>
      </c>
      <c r="EG11" t="e">
        <f>AND(#REF!,"AAAAABd//4g=")</f>
        <v>#REF!</v>
      </c>
      <c r="EH11" t="e">
        <f>AND(#REF!,"AAAAABd//4k=")</f>
        <v>#REF!</v>
      </c>
      <c r="EI11" t="e">
        <f>AND(#REF!,"AAAAABd//4o=")</f>
        <v>#REF!</v>
      </c>
      <c r="EJ11" t="e">
        <f>AND(#REF!,"AAAAABd//4s=")</f>
        <v>#REF!</v>
      </c>
      <c r="EK11" t="e">
        <f>AND(#REF!,"AAAAABd//4w=")</f>
        <v>#REF!</v>
      </c>
      <c r="EL11" t="e">
        <f>AND(#REF!,"AAAAABd//40=")</f>
        <v>#REF!</v>
      </c>
      <c r="EM11" t="e">
        <f>AND(#REF!,"AAAAABd//44=")</f>
        <v>#REF!</v>
      </c>
      <c r="EN11" t="e">
        <f>AND(#REF!,"AAAAABd//48=")</f>
        <v>#REF!</v>
      </c>
      <c r="EO11" t="e">
        <f>AND(#REF!,"AAAAABd//5A=")</f>
        <v>#REF!</v>
      </c>
      <c r="EP11" t="e">
        <f>IF(#REF!,"AAAAABd//5E=",0)</f>
        <v>#REF!</v>
      </c>
      <c r="EQ11" t="e">
        <f>AND(#REF!,"AAAAABd//5I=")</f>
        <v>#REF!</v>
      </c>
      <c r="ER11" t="e">
        <f>AND(#REF!,"AAAAABd//5M=")</f>
        <v>#REF!</v>
      </c>
      <c r="ES11" t="e">
        <f>AND(#REF!,"AAAAABd//5Q=")</f>
        <v>#REF!</v>
      </c>
      <c r="ET11" t="e">
        <f>AND(#REF!,"AAAAABd//5U=")</f>
        <v>#REF!</v>
      </c>
      <c r="EU11" t="e">
        <f>AND(#REF!,"AAAAABd//5Y=")</f>
        <v>#REF!</v>
      </c>
      <c r="EV11" t="e">
        <f>AND(#REF!,"AAAAABd//5c=")</f>
        <v>#REF!</v>
      </c>
      <c r="EW11" t="e">
        <f>AND(#REF!,"AAAAABd//5g=")</f>
        <v>#REF!</v>
      </c>
      <c r="EX11" t="e">
        <f>AND(#REF!,"AAAAABd//5k=")</f>
        <v>#REF!</v>
      </c>
      <c r="EY11" t="e">
        <f>AND(#REF!,"AAAAABd//5o=")</f>
        <v>#REF!</v>
      </c>
      <c r="EZ11" t="e">
        <f>AND(#REF!,"AAAAABd//5s=")</f>
        <v>#REF!</v>
      </c>
      <c r="FA11" t="e">
        <f>IF(#REF!,"AAAAABd//5w=",0)</f>
        <v>#REF!</v>
      </c>
      <c r="FB11" t="e">
        <f>AND(#REF!,"AAAAABd//50=")</f>
        <v>#REF!</v>
      </c>
      <c r="FC11" t="e">
        <f>AND(#REF!,"AAAAABd//54=")</f>
        <v>#REF!</v>
      </c>
      <c r="FD11" t="e">
        <f>AND(#REF!,"AAAAABd//58=")</f>
        <v>#REF!</v>
      </c>
      <c r="FE11" t="e">
        <f>AND(#REF!,"AAAAABd//6A=")</f>
        <v>#REF!</v>
      </c>
      <c r="FF11" t="e">
        <f>AND(#REF!,"AAAAABd//6E=")</f>
        <v>#REF!</v>
      </c>
      <c r="FG11" t="e">
        <f>AND(#REF!,"AAAAABd//6I=")</f>
        <v>#REF!</v>
      </c>
      <c r="FH11" t="e">
        <f>AND(#REF!,"AAAAABd//6M=")</f>
        <v>#REF!</v>
      </c>
      <c r="FI11" t="e">
        <f>AND(#REF!,"AAAAABd//6Q=")</f>
        <v>#REF!</v>
      </c>
      <c r="FJ11" t="e">
        <f>AND(#REF!,"AAAAABd//6U=")</f>
        <v>#REF!</v>
      </c>
      <c r="FK11" t="e">
        <f>AND(#REF!,"AAAAABd//6Y=")</f>
        <v>#REF!</v>
      </c>
      <c r="FL11" t="e">
        <f>IF(#REF!,"AAAAABd//6c=",0)</f>
        <v>#REF!</v>
      </c>
      <c r="FM11" t="e">
        <f>AND(#REF!,"AAAAABd//6g=")</f>
        <v>#REF!</v>
      </c>
      <c r="FN11" t="e">
        <f>AND(#REF!,"AAAAABd//6k=")</f>
        <v>#REF!</v>
      </c>
      <c r="FO11" t="e">
        <f>AND(#REF!,"AAAAABd//6o=")</f>
        <v>#REF!</v>
      </c>
      <c r="FP11" t="e">
        <f>AND(#REF!,"AAAAABd//6s=")</f>
        <v>#REF!</v>
      </c>
      <c r="FQ11" t="e">
        <f>AND(#REF!,"AAAAABd//6w=")</f>
        <v>#REF!</v>
      </c>
      <c r="FR11" t="e">
        <f>AND(#REF!,"AAAAABd//60=")</f>
        <v>#REF!</v>
      </c>
      <c r="FS11" t="e">
        <f>AND(#REF!,"AAAAABd//64=")</f>
        <v>#REF!</v>
      </c>
      <c r="FT11" t="e">
        <f>AND(#REF!,"AAAAABd//68=")</f>
        <v>#REF!</v>
      </c>
      <c r="FU11" t="e">
        <f>AND(#REF!,"AAAAABd//7A=")</f>
        <v>#REF!</v>
      </c>
      <c r="FV11" t="e">
        <f>AND(#REF!,"AAAAABd//7E=")</f>
        <v>#REF!</v>
      </c>
      <c r="FW11" t="e">
        <f>IF(#REF!,"AAAAABd//7I=",0)</f>
        <v>#REF!</v>
      </c>
      <c r="FX11" t="e">
        <f>AND(#REF!,"AAAAABd//7M=")</f>
        <v>#REF!</v>
      </c>
      <c r="FY11" t="e">
        <f>AND(#REF!,"AAAAABd//7Q=")</f>
        <v>#REF!</v>
      </c>
      <c r="FZ11" t="e">
        <f>AND(#REF!,"AAAAABd//7U=")</f>
        <v>#REF!</v>
      </c>
      <c r="GA11" t="e">
        <f>AND(#REF!,"AAAAABd//7Y=")</f>
        <v>#REF!</v>
      </c>
      <c r="GB11" t="e">
        <f>AND(#REF!,"AAAAABd//7c=")</f>
        <v>#REF!</v>
      </c>
      <c r="GC11" t="e">
        <f>AND(#REF!,"AAAAABd//7g=")</f>
        <v>#REF!</v>
      </c>
      <c r="GD11" t="e">
        <f>AND(#REF!,"AAAAABd//7k=")</f>
        <v>#REF!</v>
      </c>
      <c r="GE11" t="e">
        <f>AND(#REF!,"AAAAABd//7o=")</f>
        <v>#REF!</v>
      </c>
      <c r="GF11" t="e">
        <f>AND(#REF!,"AAAAABd//7s=")</f>
        <v>#REF!</v>
      </c>
      <c r="GG11" t="e">
        <f>AND(#REF!,"AAAAABd//7w=")</f>
        <v>#REF!</v>
      </c>
      <c r="GH11" t="e">
        <f>IF(#REF!,"AAAAABd//70=",0)</f>
        <v>#REF!</v>
      </c>
      <c r="GI11" t="e">
        <f>AND(#REF!,"AAAAABd//74=")</f>
        <v>#REF!</v>
      </c>
      <c r="GJ11" t="e">
        <f>AND(#REF!,"AAAAABd//78=")</f>
        <v>#REF!</v>
      </c>
      <c r="GK11" t="e">
        <f>AND(#REF!,"AAAAABd//8A=")</f>
        <v>#REF!</v>
      </c>
      <c r="GL11" t="e">
        <f>AND(#REF!,"AAAAABd//8E=")</f>
        <v>#REF!</v>
      </c>
      <c r="GM11" t="e">
        <f>AND(#REF!,"AAAAABd//8I=")</f>
        <v>#REF!</v>
      </c>
      <c r="GN11" t="e">
        <f>AND(#REF!,"AAAAABd//8M=")</f>
        <v>#REF!</v>
      </c>
      <c r="GO11" t="e">
        <f>AND(#REF!,"AAAAABd//8Q=")</f>
        <v>#REF!</v>
      </c>
      <c r="GP11" t="e">
        <f>AND(#REF!,"AAAAABd//8U=")</f>
        <v>#REF!</v>
      </c>
      <c r="GQ11" t="e">
        <f>AND(#REF!,"AAAAABd//8Y=")</f>
        <v>#REF!</v>
      </c>
      <c r="GR11" t="e">
        <f>AND(#REF!,"AAAAABd//8c=")</f>
        <v>#REF!</v>
      </c>
      <c r="GS11" t="e">
        <f>IF(#REF!,"AAAAABd//8g=",0)</f>
        <v>#REF!</v>
      </c>
      <c r="GT11" t="e">
        <f>AND(#REF!,"AAAAABd//8k=")</f>
        <v>#REF!</v>
      </c>
      <c r="GU11" t="e">
        <f>AND(#REF!,"AAAAABd//8o=")</f>
        <v>#REF!</v>
      </c>
      <c r="GV11" t="e">
        <f>AND(#REF!,"AAAAABd//8s=")</f>
        <v>#REF!</v>
      </c>
      <c r="GW11" t="e">
        <f>AND(#REF!,"AAAAABd//8w=")</f>
        <v>#REF!</v>
      </c>
      <c r="GX11" t="e">
        <f>AND(#REF!,"AAAAABd//80=")</f>
        <v>#REF!</v>
      </c>
      <c r="GY11" t="e">
        <f>AND(#REF!,"AAAAABd//84=")</f>
        <v>#REF!</v>
      </c>
      <c r="GZ11" t="e">
        <f>AND(#REF!,"AAAAABd//88=")</f>
        <v>#REF!</v>
      </c>
      <c r="HA11" t="e">
        <f>AND(#REF!,"AAAAABd//9A=")</f>
        <v>#REF!</v>
      </c>
      <c r="HB11" t="e">
        <f>AND(#REF!,"AAAAABd//9E=")</f>
        <v>#REF!</v>
      </c>
      <c r="HC11" t="e">
        <f>AND(#REF!,"AAAAABd//9I=")</f>
        <v>#REF!</v>
      </c>
      <c r="HD11" t="e">
        <f>IF(#REF!,"AAAAABd//9M=",0)</f>
        <v>#REF!</v>
      </c>
      <c r="HE11" t="e">
        <f>AND(#REF!,"AAAAABd//9Q=")</f>
        <v>#REF!</v>
      </c>
      <c r="HF11" t="e">
        <f>AND(#REF!,"AAAAABd//9U=")</f>
        <v>#REF!</v>
      </c>
      <c r="HG11" t="e">
        <f>AND(#REF!,"AAAAABd//9Y=")</f>
        <v>#REF!</v>
      </c>
      <c r="HH11" t="e">
        <f>AND(#REF!,"AAAAABd//9c=")</f>
        <v>#REF!</v>
      </c>
      <c r="HI11" t="e">
        <f>AND(#REF!,"AAAAABd//9g=")</f>
        <v>#REF!</v>
      </c>
      <c r="HJ11" t="e">
        <f>AND(#REF!,"AAAAABd//9k=")</f>
        <v>#REF!</v>
      </c>
      <c r="HK11" t="e">
        <f>AND(#REF!,"AAAAABd//9o=")</f>
        <v>#REF!</v>
      </c>
      <c r="HL11" t="e">
        <f>AND(#REF!,"AAAAABd//9s=")</f>
        <v>#REF!</v>
      </c>
      <c r="HM11" t="e">
        <f>AND(#REF!,"AAAAABd//9w=")</f>
        <v>#REF!</v>
      </c>
      <c r="HN11" t="e">
        <f>AND(#REF!,"AAAAABd//90=")</f>
        <v>#REF!</v>
      </c>
      <c r="HO11" t="e">
        <f>IF(#REF!,"AAAAABd//94=",0)</f>
        <v>#REF!</v>
      </c>
      <c r="HP11" t="e">
        <f>AND(#REF!,"AAAAABd//98=")</f>
        <v>#REF!</v>
      </c>
      <c r="HQ11" t="e">
        <f>AND(#REF!,"AAAAABd//+A=")</f>
        <v>#REF!</v>
      </c>
      <c r="HR11" t="e">
        <f>AND(#REF!,"AAAAABd//+E=")</f>
        <v>#REF!</v>
      </c>
      <c r="HS11" t="e">
        <f>AND(#REF!,"AAAAABd//+I=")</f>
        <v>#REF!</v>
      </c>
      <c r="HT11" t="e">
        <f>AND(#REF!,"AAAAABd//+M=")</f>
        <v>#REF!</v>
      </c>
      <c r="HU11" t="e">
        <f>AND(#REF!,"AAAAABd//+Q=")</f>
        <v>#REF!</v>
      </c>
      <c r="HV11" t="e">
        <f>AND(#REF!,"AAAAABd//+U=")</f>
        <v>#REF!</v>
      </c>
      <c r="HW11" t="e">
        <f>AND(#REF!,"AAAAABd//+Y=")</f>
        <v>#REF!</v>
      </c>
      <c r="HX11" t="e">
        <f>AND(#REF!,"AAAAABd//+c=")</f>
        <v>#REF!</v>
      </c>
      <c r="HY11" t="e">
        <f>AND(#REF!,"AAAAABd//+g=")</f>
        <v>#REF!</v>
      </c>
      <c r="HZ11" t="e">
        <f>IF(#REF!,"AAAAABd//+k=",0)</f>
        <v>#REF!</v>
      </c>
      <c r="IA11" t="e">
        <f>IF(#REF!,"AAAAABd//+o=",0)</f>
        <v>#REF!</v>
      </c>
      <c r="IB11" t="e">
        <f>IF(#REF!,"AAAAABd//+s=",0)</f>
        <v>#REF!</v>
      </c>
      <c r="IC11" t="e">
        <f>IF(#REF!,"AAAAABd//+w=",0)</f>
        <v>#REF!</v>
      </c>
      <c r="ID11" t="e">
        <f>IF(#REF!,"AAAAABd//+0=",0)</f>
        <v>#REF!</v>
      </c>
      <c r="IE11" t="e">
        <f>IF(#REF!,"AAAAABd//+4=",0)</f>
        <v>#REF!</v>
      </c>
      <c r="IF11" t="e">
        <f>IF(#REF!,"AAAAABd//+8=",0)</f>
        <v>#REF!</v>
      </c>
      <c r="IG11" t="e">
        <f>IF(#REF!,"AAAAABd///A=",0)</f>
        <v>#REF!</v>
      </c>
      <c r="IH11" t="e">
        <f>IF(#REF!,"AAAAABd///E=",0)</f>
        <v>#REF!</v>
      </c>
      <c r="II11" t="e">
        <f>IF(#REF!,"AAAAABd///I=",0)</f>
        <v>#REF!</v>
      </c>
    </row>
    <row r="12" spans="1:256" x14ac:dyDescent="0.25">
      <c r="A12" t="e">
        <f>AND(#REF!,"AAAAABb/3QA=")</f>
        <v>#REF!</v>
      </c>
      <c r="B12" t="e">
        <f>AND(#REF!,"AAAAABb/3QE=")</f>
        <v>#REF!</v>
      </c>
      <c r="C12" t="e">
        <f>AND(#REF!,"AAAAABb/3QI=")</f>
        <v>#REF!</v>
      </c>
      <c r="D12" t="e">
        <f>AND(#REF!,"AAAAABb/3QM=")</f>
        <v>#REF!</v>
      </c>
      <c r="E12" t="e">
        <f>AND(#REF!,"AAAAABb/3QQ=")</f>
        <v>#REF!</v>
      </c>
      <c r="F12" t="e">
        <f>AND(#REF!,"AAAAABb/3QU=")</f>
        <v>#REF!</v>
      </c>
      <c r="G12" t="e">
        <f>AND(#REF!,"AAAAABb/3QY=")</f>
        <v>#REF!</v>
      </c>
      <c r="H12" t="e">
        <f>AND(#REF!,"AAAAABb/3Qc=")</f>
        <v>#REF!</v>
      </c>
      <c r="I12" t="e">
        <f>AND(#REF!,"AAAAABb/3Qg=")</f>
        <v>#REF!</v>
      </c>
      <c r="J12" t="e">
        <f>AND(#REF!,"AAAAABb/3Qk=")</f>
        <v>#REF!</v>
      </c>
      <c r="K12" t="e">
        <f>AND(#REF!,"AAAAABb/3Qo=")</f>
        <v>#REF!</v>
      </c>
      <c r="L12" t="e">
        <f>AND(#REF!,"AAAAABb/3Qs=")</f>
        <v>#REF!</v>
      </c>
      <c r="M12" t="e">
        <f>AND(#REF!,"AAAAABb/3Qw=")</f>
        <v>#REF!</v>
      </c>
      <c r="N12" t="e">
        <f>AND(#REF!,"AAAAABb/3Q0=")</f>
        <v>#REF!</v>
      </c>
      <c r="O12" t="e">
        <f>AND(#REF!,"AAAAABb/3Q4=")</f>
        <v>#REF!</v>
      </c>
      <c r="P12" t="e">
        <f>AND(#REF!,"AAAAABb/3Q8=")</f>
        <v>#REF!</v>
      </c>
      <c r="Q12" t="e">
        <f>AND(#REF!,"AAAAABb/3RA=")</f>
        <v>#REF!</v>
      </c>
      <c r="R12" t="e">
        <f>AND(#REF!,"AAAAABb/3RE=")</f>
        <v>#REF!</v>
      </c>
      <c r="S12" t="e">
        <f>AND(#REF!,"AAAAABb/3RI=")</f>
        <v>#REF!</v>
      </c>
      <c r="T12" t="e">
        <f>AND(#REF!,"AAAAABb/3RM=")</f>
        <v>#REF!</v>
      </c>
      <c r="U12" t="e">
        <f>AND(#REF!,"AAAAABb/3RQ=")</f>
        <v>#REF!</v>
      </c>
      <c r="V12" t="e">
        <f>AND(#REF!,"AAAAABb/3RU=")</f>
        <v>#REF!</v>
      </c>
      <c r="W12" t="e">
        <f>AND(#REF!,"AAAAABb/3RY=")</f>
        <v>#REF!</v>
      </c>
      <c r="X12" t="e">
        <f>AND(#REF!,"AAAAABb/3Rc=")</f>
        <v>#REF!</v>
      </c>
      <c r="Y12" t="e">
        <f>AND(#REF!,"AAAAABb/3Rg=")</f>
        <v>#REF!</v>
      </c>
      <c r="Z12" t="e">
        <f>AND(#REF!,"AAAAABb/3Rk=")</f>
        <v>#REF!</v>
      </c>
      <c r="AA12" t="e">
        <f>AND(#REF!,"AAAAABb/3Ro=")</f>
        <v>#REF!</v>
      </c>
      <c r="AB12" t="e">
        <f>AND(#REF!,"AAAAABb/3Rs=")</f>
        <v>#REF!</v>
      </c>
      <c r="AC12" t="e">
        <f>AND(#REF!,"AAAAABb/3Rw=")</f>
        <v>#REF!</v>
      </c>
      <c r="AD12" t="e">
        <f>AND(#REF!,"AAAAABb/3R0=")</f>
        <v>#REF!</v>
      </c>
      <c r="AE12" t="e">
        <f>AND(#REF!,"AAAAABb/3R4=")</f>
        <v>#REF!</v>
      </c>
      <c r="AF12" t="e">
        <f>AND(#REF!,"AAAAABb/3R8=")</f>
        <v>#REF!</v>
      </c>
      <c r="AG12" t="e">
        <f>AND(#REF!,"AAAAABb/3SA=")</f>
        <v>#REF!</v>
      </c>
      <c r="AH12" t="e">
        <f>AND(#REF!,"AAAAABb/3SE=")</f>
        <v>#REF!</v>
      </c>
      <c r="AI12" t="e">
        <f>AND(#REF!,"AAAAABb/3SI=")</f>
        <v>#REF!</v>
      </c>
      <c r="AJ12" t="e">
        <f>AND(#REF!,"AAAAABb/3SM=")</f>
        <v>#REF!</v>
      </c>
      <c r="AK12" t="e">
        <f>AND(#REF!,"AAAAABb/3SQ=")</f>
        <v>#REF!</v>
      </c>
      <c r="AL12" t="e">
        <f>AND(#REF!,"AAAAABb/3SU=")</f>
        <v>#REF!</v>
      </c>
      <c r="AM12" t="e">
        <f>AND(#REF!,"AAAAABb/3SY=")</f>
        <v>#REF!</v>
      </c>
      <c r="AN12" t="e">
        <f>AND(#REF!,"AAAAABb/3Sc=")</f>
        <v>#REF!</v>
      </c>
      <c r="AO12" t="e">
        <f>AND(#REF!,"AAAAABb/3Sg=")</f>
        <v>#REF!</v>
      </c>
      <c r="AP12" t="e">
        <f>AND(#REF!,"AAAAABb/3Sk=")</f>
        <v>#REF!</v>
      </c>
      <c r="AQ12" t="e">
        <f>AND(#REF!,"AAAAABb/3So=")</f>
        <v>#REF!</v>
      </c>
      <c r="AR12" t="e">
        <f>AND(#REF!,"AAAAABb/3Ss=")</f>
        <v>#REF!</v>
      </c>
      <c r="AS12" t="e">
        <f>AND(#REF!,"AAAAABb/3Sw=")</f>
        <v>#REF!</v>
      </c>
      <c r="AT12" t="e">
        <f>AND(#REF!,"AAAAABb/3S0=")</f>
        <v>#REF!</v>
      </c>
      <c r="AU12" t="e">
        <f>AND(#REF!,"AAAAABb/3S4=")</f>
        <v>#REF!</v>
      </c>
      <c r="AV12" t="e">
        <f>AND(#REF!,"AAAAABb/3S8=")</f>
        <v>#REF!</v>
      </c>
      <c r="AW12" t="e">
        <f>AND(#REF!,"AAAAABb/3TA=")</f>
        <v>#REF!</v>
      </c>
      <c r="AX12" t="e">
        <f>AND(#REF!,"AAAAABb/3TE=")</f>
        <v>#REF!</v>
      </c>
      <c r="AY12" t="e">
        <f>AND(#REF!,"AAAAABb/3TI=")</f>
        <v>#REF!</v>
      </c>
      <c r="AZ12" t="e">
        <f>AND(#REF!,"AAAAABb/3TM=")</f>
        <v>#REF!</v>
      </c>
      <c r="BA12" t="e">
        <f>AND(#REF!,"AAAAABb/3TQ=")</f>
        <v>#REF!</v>
      </c>
      <c r="BB12" t="e">
        <f>AND(#REF!,"AAAAABb/3TU=")</f>
        <v>#REF!</v>
      </c>
      <c r="BC12" t="e">
        <f>AND(#REF!,"AAAAABb/3TY=")</f>
        <v>#REF!</v>
      </c>
      <c r="BD12" t="e">
        <f>AND(#REF!,"AAAAABb/3Tc=")</f>
        <v>#REF!</v>
      </c>
      <c r="BE12" t="e">
        <f>AND(#REF!,"AAAAABb/3Tg=")</f>
        <v>#REF!</v>
      </c>
      <c r="BF12" t="e">
        <f>AND(#REF!,"AAAAABb/3Tk=")</f>
        <v>#REF!</v>
      </c>
      <c r="BG12" t="e">
        <f>AND(#REF!,"AAAAABb/3To=")</f>
        <v>#REF!</v>
      </c>
      <c r="BH12" t="e">
        <f>AND(#REF!,"AAAAABb/3Ts=")</f>
        <v>#REF!</v>
      </c>
      <c r="BI12" t="e">
        <f>AND(#REF!,"AAAAABb/3Tw=")</f>
        <v>#REF!</v>
      </c>
      <c r="BJ12" t="e">
        <f>AND(#REF!,"AAAAABb/3T0=")</f>
        <v>#REF!</v>
      </c>
      <c r="BK12" t="e">
        <f>AND(#REF!,"AAAAABb/3T4=")</f>
        <v>#REF!</v>
      </c>
      <c r="BL12" t="e">
        <f>AND(#REF!,"AAAAABb/3T8=")</f>
        <v>#REF!</v>
      </c>
      <c r="BM12" t="e">
        <f>AND(#REF!,"AAAAABb/3UA=")</f>
        <v>#REF!</v>
      </c>
      <c r="BN12" t="e">
        <f>AND(#REF!,"AAAAABb/3UE=")</f>
        <v>#REF!</v>
      </c>
      <c r="BO12" t="e">
        <f>AND(#REF!,"AAAAABb/3UI=")</f>
        <v>#REF!</v>
      </c>
      <c r="BP12" t="e">
        <f>AND(#REF!,"AAAAABb/3UM=")</f>
        <v>#REF!</v>
      </c>
      <c r="BQ12" t="e">
        <f>AND(#REF!,"AAAAABb/3UQ=")</f>
        <v>#REF!</v>
      </c>
      <c r="BR12" t="e">
        <f>AND(#REF!,"AAAAABb/3UU=")</f>
        <v>#REF!</v>
      </c>
      <c r="BS12" t="e">
        <f>AND(#REF!,"AAAAABb/3UY=")</f>
        <v>#REF!</v>
      </c>
      <c r="BT12" t="e">
        <f>AND(#REF!,"AAAAABb/3Uc=")</f>
        <v>#REF!</v>
      </c>
      <c r="BU12" t="e">
        <f>AND(#REF!,"AAAAABb/3Ug=")</f>
        <v>#REF!</v>
      </c>
      <c r="BV12" t="e">
        <f>AND(#REF!,"AAAAABb/3Uk=")</f>
        <v>#REF!</v>
      </c>
      <c r="BW12" t="e">
        <f>AND(#REF!,"AAAAABb/3Uo=")</f>
        <v>#REF!</v>
      </c>
      <c r="BX12" t="e">
        <f>AND(#REF!,"AAAAABb/3Us=")</f>
        <v>#REF!</v>
      </c>
      <c r="BY12" t="e">
        <f>AND(#REF!,"AAAAABb/3Uw=")</f>
        <v>#REF!</v>
      </c>
      <c r="BZ12" t="e">
        <f>AND(#REF!,"AAAAABb/3U0=")</f>
        <v>#REF!</v>
      </c>
      <c r="CA12" t="e">
        <f>AND(#REF!,"AAAAABb/3U4=")</f>
        <v>#REF!</v>
      </c>
      <c r="CB12" t="e">
        <f>AND(#REF!,"AAAAABb/3U8=")</f>
        <v>#REF!</v>
      </c>
      <c r="CC12" t="e">
        <f>AND(#REF!,"AAAAABb/3VA=")</f>
        <v>#REF!</v>
      </c>
      <c r="CD12" t="e">
        <f>AND(#REF!,"AAAAABb/3VE=")</f>
        <v>#REF!</v>
      </c>
      <c r="CE12" t="e">
        <f>AND(#REF!,"AAAAABb/3VI=")</f>
        <v>#REF!</v>
      </c>
      <c r="CF12" t="e">
        <f>AND(#REF!,"AAAAABb/3VM=")</f>
        <v>#REF!</v>
      </c>
      <c r="CG12" t="e">
        <f>AND(#REF!,"AAAAABb/3VQ=")</f>
        <v>#REF!</v>
      </c>
      <c r="CH12" t="e">
        <f>AND(#REF!,"AAAAABb/3VU=")</f>
        <v>#REF!</v>
      </c>
      <c r="CI12" t="e">
        <f>AND(#REF!,"AAAAABb/3VY=")</f>
        <v>#REF!</v>
      </c>
      <c r="CJ12" t="e">
        <f>AND(#REF!,"AAAAABb/3Vc=")</f>
        <v>#REF!</v>
      </c>
      <c r="CK12" t="e">
        <f>AND(#REF!,"AAAAABb/3Vg=")</f>
        <v>#REF!</v>
      </c>
      <c r="CL12" t="e">
        <f>AND(#REF!,"AAAAABb/3Vk=")</f>
        <v>#REF!</v>
      </c>
      <c r="CM12" t="e">
        <f>AND(#REF!,"AAAAABb/3Vo=")</f>
        <v>#REF!</v>
      </c>
      <c r="CN12" t="e">
        <f>AND(#REF!,"AAAAABb/3Vs=")</f>
        <v>#REF!</v>
      </c>
      <c r="CO12" t="e">
        <f>AND(#REF!,"AAAAABb/3Vw=")</f>
        <v>#REF!</v>
      </c>
      <c r="CP12" t="e">
        <f>AND(#REF!,"AAAAABb/3V0=")</f>
        <v>#REF!</v>
      </c>
      <c r="CQ12" t="e">
        <f>AND(#REF!,"AAAAABb/3V4=")</f>
        <v>#REF!</v>
      </c>
      <c r="CR12" t="e">
        <f>AND(#REF!,"AAAAABb/3V8=")</f>
        <v>#REF!</v>
      </c>
      <c r="CS12" t="e">
        <f>AND(#REF!,"AAAAABb/3WA=")</f>
        <v>#REF!</v>
      </c>
      <c r="CT12" t="e">
        <f>AND(#REF!,"AAAAABb/3WE=")</f>
        <v>#REF!</v>
      </c>
      <c r="CU12" t="e">
        <f>AND(#REF!,"AAAAABb/3WI=")</f>
        <v>#REF!</v>
      </c>
      <c r="CV12" t="e">
        <f>AND(#REF!,"AAAAABb/3WM=")</f>
        <v>#REF!</v>
      </c>
      <c r="CW12" t="e">
        <f>AND(#REF!,"AAAAABb/3WQ=")</f>
        <v>#REF!</v>
      </c>
      <c r="CX12" t="e">
        <f>AND(#REF!,"AAAAABb/3WU=")</f>
        <v>#REF!</v>
      </c>
      <c r="CY12" t="e">
        <f>AND(#REF!,"AAAAABb/3WY=")</f>
        <v>#REF!</v>
      </c>
      <c r="CZ12" t="e">
        <f>AND(#REF!,"AAAAABb/3Wc=")</f>
        <v>#REF!</v>
      </c>
      <c r="DA12" t="e">
        <f>AND(#REF!,"AAAAABb/3Wg=")</f>
        <v>#REF!</v>
      </c>
      <c r="DB12" t="e">
        <f>AND(#REF!,"AAAAABb/3Wk=")</f>
        <v>#REF!</v>
      </c>
      <c r="DC12" t="e">
        <f>AND(#REF!,"AAAAABb/3Wo=")</f>
        <v>#REF!</v>
      </c>
      <c r="DD12" t="e">
        <f>AND(#REF!,"AAAAABb/3Ws=")</f>
        <v>#REF!</v>
      </c>
      <c r="DE12" t="e">
        <f>AND(#REF!,"AAAAABb/3Ww=")</f>
        <v>#REF!</v>
      </c>
      <c r="DF12" t="e">
        <f>AND(#REF!,"AAAAABb/3W0=")</f>
        <v>#REF!</v>
      </c>
      <c r="DG12" t="e">
        <f>AND(#REF!,"AAAAABb/3W4=")</f>
        <v>#REF!</v>
      </c>
      <c r="DH12" t="e">
        <f>AND(#REF!,"AAAAABb/3W8=")</f>
        <v>#REF!</v>
      </c>
      <c r="DI12" t="e">
        <f>AND(#REF!,"AAAAABb/3XA=")</f>
        <v>#REF!</v>
      </c>
      <c r="DJ12" t="e">
        <f>AND(#REF!,"AAAAABb/3XE=")</f>
        <v>#REF!</v>
      </c>
      <c r="DK12" t="e">
        <f>AND(#REF!,"AAAAABb/3XI=")</f>
        <v>#REF!</v>
      </c>
      <c r="DL12" t="e">
        <f>AND(#REF!,"AAAAABb/3XM=")</f>
        <v>#REF!</v>
      </c>
      <c r="DM12" t="e">
        <f>AND(#REF!,"AAAAABb/3XQ=")</f>
        <v>#REF!</v>
      </c>
      <c r="DN12" t="e">
        <f>AND(#REF!,"AAAAABb/3XU=")</f>
        <v>#REF!</v>
      </c>
      <c r="DO12" t="e">
        <f>AND(#REF!,"AAAAABb/3XY=")</f>
        <v>#REF!</v>
      </c>
      <c r="DP12" t="e">
        <f>AND(#REF!,"AAAAABb/3Xc=")</f>
        <v>#REF!</v>
      </c>
      <c r="DQ12" t="e">
        <f>AND(#REF!,"AAAAABb/3Xg=")</f>
        <v>#REF!</v>
      </c>
      <c r="DR12" t="e">
        <f>AND(#REF!,"AAAAABb/3Xk=")</f>
        <v>#REF!</v>
      </c>
      <c r="DS12" t="e">
        <f>AND(#REF!,"AAAAABb/3Xo=")</f>
        <v>#REF!</v>
      </c>
      <c r="DT12" t="e">
        <f>AND(#REF!,"AAAAABb/3Xs=")</f>
        <v>#REF!</v>
      </c>
      <c r="DU12" t="e">
        <f>AND(#REF!,"AAAAABb/3Xw=")</f>
        <v>#REF!</v>
      </c>
      <c r="DV12" t="e">
        <f>AND(#REF!,"AAAAABb/3X0=")</f>
        <v>#REF!</v>
      </c>
      <c r="DW12" t="e">
        <f>AND(#REF!,"AAAAABb/3X4=")</f>
        <v>#REF!</v>
      </c>
      <c r="DX12" t="e">
        <f>AND(#REF!,"AAAAABb/3X8=")</f>
        <v>#REF!</v>
      </c>
      <c r="DY12" t="e">
        <f>AND(#REF!,"AAAAABb/3YA=")</f>
        <v>#REF!</v>
      </c>
      <c r="DZ12" t="e">
        <f>AND(#REF!,"AAAAABb/3YE=")</f>
        <v>#REF!</v>
      </c>
      <c r="EA12" t="e">
        <f>AND(#REF!,"AAAAABb/3YI=")</f>
        <v>#REF!</v>
      </c>
      <c r="EB12" t="e">
        <f>AND(#REF!,"AAAAABb/3YM=")</f>
        <v>#REF!</v>
      </c>
      <c r="EC12" t="e">
        <f>AND(#REF!,"AAAAABb/3YQ=")</f>
        <v>#REF!</v>
      </c>
      <c r="ED12" t="e">
        <f>AND(#REF!,"AAAAABb/3YU=")</f>
        <v>#REF!</v>
      </c>
      <c r="EE12" t="e">
        <f>AND(#REF!,"AAAAABb/3YY=")</f>
        <v>#REF!</v>
      </c>
      <c r="EF12" t="e">
        <f>AND(#REF!,"AAAAABb/3Yc=")</f>
        <v>#REF!</v>
      </c>
      <c r="EG12" t="e">
        <f>AND(#REF!,"AAAAABb/3Yg=")</f>
        <v>#REF!</v>
      </c>
      <c r="EH12" t="e">
        <f>AND(#REF!,"AAAAABb/3Yk=")</f>
        <v>#REF!</v>
      </c>
      <c r="EI12" t="e">
        <f>AND(#REF!,"AAAAABb/3Yo=")</f>
        <v>#REF!</v>
      </c>
      <c r="EJ12" t="e">
        <f>AND(#REF!,"AAAAABb/3Ys=")</f>
        <v>#REF!</v>
      </c>
      <c r="EK12" t="e">
        <f>AND(#REF!,"AAAAABb/3Yw=")</f>
        <v>#REF!</v>
      </c>
      <c r="EL12" t="e">
        <f>AND(#REF!,"AAAAABb/3Y0=")</f>
        <v>#REF!</v>
      </c>
      <c r="EM12" t="e">
        <f>AND(#REF!,"AAAAABb/3Y4=")</f>
        <v>#REF!</v>
      </c>
      <c r="EN12" t="e">
        <f>AND(#REF!,"AAAAABb/3Y8=")</f>
        <v>#REF!</v>
      </c>
      <c r="EO12" t="e">
        <f>AND(#REF!,"AAAAABb/3ZA=")</f>
        <v>#REF!</v>
      </c>
      <c r="EP12" t="e">
        <f>AND(#REF!,"AAAAABb/3ZE=")</f>
        <v>#REF!</v>
      </c>
      <c r="EQ12" t="e">
        <f>AND(#REF!,"AAAAABb/3ZI=")</f>
        <v>#REF!</v>
      </c>
      <c r="ER12" t="e">
        <f>AND(#REF!,"AAAAABb/3ZM=")</f>
        <v>#REF!</v>
      </c>
      <c r="ES12" t="e">
        <f>AND(#REF!,"AAAAABb/3ZQ=")</f>
        <v>#REF!</v>
      </c>
      <c r="ET12" t="e">
        <f>AND(#REF!,"AAAAABb/3ZU=")</f>
        <v>#REF!</v>
      </c>
      <c r="EU12" t="e">
        <f>AND(#REF!,"AAAAABb/3ZY=")</f>
        <v>#REF!</v>
      </c>
      <c r="EV12" t="e">
        <f>AND(#REF!,"AAAAABb/3Zc=")</f>
        <v>#REF!</v>
      </c>
      <c r="EW12" t="e">
        <f>AND(#REF!,"AAAAABb/3Zg=")</f>
        <v>#REF!</v>
      </c>
      <c r="EX12" t="e">
        <f>AND(#REF!,"AAAAABb/3Zk=")</f>
        <v>#REF!</v>
      </c>
      <c r="EY12" t="e">
        <f>AND(#REF!,"AAAAABb/3Zo=")</f>
        <v>#REF!</v>
      </c>
      <c r="EZ12" t="e">
        <f>AND(#REF!,"AAAAABb/3Zs=")</f>
        <v>#REF!</v>
      </c>
      <c r="FA12" t="e">
        <f>AND(#REF!,"AAAAABb/3Zw=")</f>
        <v>#REF!</v>
      </c>
      <c r="FB12" t="e">
        <f>AND(#REF!,"AAAAABb/3Z0=")</f>
        <v>#REF!</v>
      </c>
      <c r="FC12" t="e">
        <f>AND(#REF!,"AAAAABb/3Z4=")</f>
        <v>#REF!</v>
      </c>
      <c r="FD12" t="e">
        <f>AND(#REF!,"AAAAABb/3Z8=")</f>
        <v>#REF!</v>
      </c>
      <c r="FE12" t="e">
        <f>AND(#REF!,"AAAAABb/3aA=")</f>
        <v>#REF!</v>
      </c>
      <c r="FF12" t="e">
        <f>AND(#REF!,"AAAAABb/3aE=")</f>
        <v>#REF!</v>
      </c>
      <c r="FG12" t="e">
        <f>AND(#REF!,"AAAAABb/3aI=")</f>
        <v>#REF!</v>
      </c>
      <c r="FH12" t="e">
        <f>AND(#REF!,"AAAAABb/3aM=")</f>
        <v>#REF!</v>
      </c>
      <c r="FI12" t="e">
        <f>AND(#REF!,"AAAAABb/3aQ=")</f>
        <v>#REF!</v>
      </c>
      <c r="FJ12" t="e">
        <f>AND(#REF!,"AAAAABb/3aU=")</f>
        <v>#REF!</v>
      </c>
      <c r="FK12" t="e">
        <f>AND(#REF!,"AAAAABb/3aY=")</f>
        <v>#REF!</v>
      </c>
      <c r="FL12" t="e">
        <f>AND(#REF!,"AAAAABb/3ac=")</f>
        <v>#REF!</v>
      </c>
      <c r="FM12" t="e">
        <f>AND(#REF!,"AAAAABb/3ag=")</f>
        <v>#REF!</v>
      </c>
      <c r="FN12" t="e">
        <f>AND(#REF!,"AAAAABb/3ak=")</f>
        <v>#REF!</v>
      </c>
      <c r="FO12" t="e">
        <f>AND(#REF!,"AAAAABb/3ao=")</f>
        <v>#REF!</v>
      </c>
      <c r="FP12" t="e">
        <f>AND(#REF!,"AAAAABb/3as=")</f>
        <v>#REF!</v>
      </c>
      <c r="FQ12" t="e">
        <f>AND(#REF!,"AAAAABb/3aw=")</f>
        <v>#REF!</v>
      </c>
      <c r="FR12" t="e">
        <f>AND(#REF!,"AAAAABb/3a0=")</f>
        <v>#REF!</v>
      </c>
      <c r="FS12" t="e">
        <f>AND(#REF!,"AAAAABb/3a4=")</f>
        <v>#REF!</v>
      </c>
      <c r="FT12" t="e">
        <f>AND(#REF!,"AAAAABb/3a8=")</f>
        <v>#REF!</v>
      </c>
      <c r="FU12" t="e">
        <f>AND(#REF!,"AAAAABb/3bA=")</f>
        <v>#REF!</v>
      </c>
      <c r="FV12" t="e">
        <f>AND(#REF!,"AAAAABb/3bE=")</f>
        <v>#REF!</v>
      </c>
      <c r="FW12" t="e">
        <f>AND(#REF!,"AAAAABb/3bI=")</f>
        <v>#REF!</v>
      </c>
      <c r="FX12" t="e">
        <f>AND(#REF!,"AAAAABb/3bM=")</f>
        <v>#REF!</v>
      </c>
      <c r="FY12" t="e">
        <f>AND(#REF!,"AAAAABb/3bQ=")</f>
        <v>#REF!</v>
      </c>
      <c r="FZ12" t="e">
        <f>AND(#REF!,"AAAAABb/3bU=")</f>
        <v>#REF!</v>
      </c>
      <c r="GA12" t="e">
        <f>AND(#REF!,"AAAAABb/3bY=")</f>
        <v>#REF!</v>
      </c>
      <c r="GB12" t="e">
        <f>AND(#REF!,"AAAAABb/3bc=")</f>
        <v>#REF!</v>
      </c>
      <c r="GC12" t="e">
        <f>AND(#REF!,"AAAAABb/3bg=")</f>
        <v>#REF!</v>
      </c>
      <c r="GD12" t="e">
        <f>AND(#REF!,"AAAAABb/3bk=")</f>
        <v>#REF!</v>
      </c>
      <c r="GE12" t="e">
        <f>AND(#REF!,"AAAAABb/3bo=")</f>
        <v>#REF!</v>
      </c>
      <c r="GF12" t="e">
        <f>AND(#REF!,"AAAAABb/3bs=")</f>
        <v>#REF!</v>
      </c>
      <c r="GG12" t="e">
        <f>AND(#REF!,"AAAAABb/3bw=")</f>
        <v>#REF!</v>
      </c>
      <c r="GH12" t="e">
        <f>AND(#REF!,"AAAAABb/3b0=")</f>
        <v>#REF!</v>
      </c>
      <c r="GI12" t="e">
        <f>AND(#REF!,"AAAAABb/3b4=")</f>
        <v>#REF!</v>
      </c>
      <c r="GJ12" t="e">
        <f>AND(#REF!,"AAAAABb/3b8=")</f>
        <v>#REF!</v>
      </c>
      <c r="GK12" t="e">
        <f>AND(#REF!,"AAAAABb/3cA=")</f>
        <v>#REF!</v>
      </c>
      <c r="GL12" t="e">
        <f>AND(#REF!,"AAAAABb/3cE=")</f>
        <v>#REF!</v>
      </c>
      <c r="GM12" t="e">
        <f>AND(#REF!,"AAAAABb/3cI=")</f>
        <v>#REF!</v>
      </c>
      <c r="GN12" t="e">
        <f>AND(#REF!,"AAAAABb/3cM=")</f>
        <v>#REF!</v>
      </c>
      <c r="GO12" t="e">
        <f>AND(#REF!,"AAAAABb/3cQ=")</f>
        <v>#REF!</v>
      </c>
      <c r="GP12" t="e">
        <f>AND(#REF!,"AAAAABb/3cU=")</f>
        <v>#REF!</v>
      </c>
      <c r="GQ12" t="e">
        <f>AND(#REF!,"AAAAABb/3cY=")</f>
        <v>#REF!</v>
      </c>
      <c r="GR12" t="e">
        <f>AND(#REF!,"AAAAABb/3cc=")</f>
        <v>#REF!</v>
      </c>
      <c r="GS12" t="e">
        <f>AND(#REF!,"AAAAABb/3cg=")</f>
        <v>#REF!</v>
      </c>
      <c r="GT12" t="e">
        <f>AND(#REF!,"AAAAABb/3ck=")</f>
        <v>#REF!</v>
      </c>
      <c r="GU12" t="e">
        <f>AND(#REF!,"AAAAABb/3co=")</f>
        <v>#REF!</v>
      </c>
      <c r="GV12" t="e">
        <f>AND(#REF!,"AAAAABb/3cs=")</f>
        <v>#REF!</v>
      </c>
      <c r="GW12" t="e">
        <f>AND(#REF!,"AAAAABb/3cw=")</f>
        <v>#REF!</v>
      </c>
      <c r="GX12" t="e">
        <f>AND(#REF!,"AAAAABb/3c0=")</f>
        <v>#REF!</v>
      </c>
      <c r="GY12" t="e">
        <f>AND(#REF!,"AAAAABb/3c4=")</f>
        <v>#REF!</v>
      </c>
      <c r="GZ12" t="e">
        <f>AND(#REF!,"AAAAABb/3c8=")</f>
        <v>#REF!</v>
      </c>
      <c r="HA12" t="e">
        <f>AND(#REF!,"AAAAABb/3dA=")</f>
        <v>#REF!</v>
      </c>
      <c r="HB12" t="e">
        <f>AND(#REF!,"AAAAABb/3dE=")</f>
        <v>#REF!</v>
      </c>
      <c r="HC12" t="e">
        <f>AND(#REF!,"AAAAABb/3dI=")</f>
        <v>#REF!</v>
      </c>
      <c r="HD12" t="e">
        <f>AND(#REF!,"AAAAABb/3dM=")</f>
        <v>#REF!</v>
      </c>
      <c r="HE12" t="e">
        <f>AND(#REF!,"AAAAABb/3dQ=")</f>
        <v>#REF!</v>
      </c>
      <c r="HF12" t="e">
        <f>AND(#REF!,"AAAAABb/3dU=")</f>
        <v>#REF!</v>
      </c>
      <c r="HG12" t="e">
        <f>AND(#REF!,"AAAAABb/3dY=")</f>
        <v>#REF!</v>
      </c>
      <c r="HH12" t="e">
        <f>AND(#REF!,"AAAAABb/3dc=")</f>
        <v>#REF!</v>
      </c>
      <c r="HI12" t="e">
        <f>AND(#REF!,"AAAAABb/3dg=")</f>
        <v>#REF!</v>
      </c>
      <c r="HJ12" t="e">
        <f>AND(#REF!,"AAAAABb/3dk=")</f>
        <v>#REF!</v>
      </c>
      <c r="HK12" t="e">
        <f>AND(#REF!,"AAAAABb/3do=")</f>
        <v>#REF!</v>
      </c>
      <c r="HL12" t="e">
        <f>AND(#REF!,"AAAAABb/3ds=")</f>
        <v>#REF!</v>
      </c>
      <c r="HM12" t="e">
        <f>AND(#REF!,"AAAAABb/3dw=")</f>
        <v>#REF!</v>
      </c>
      <c r="HN12" t="e">
        <f>AND(#REF!,"AAAAABb/3d0=")</f>
        <v>#REF!</v>
      </c>
      <c r="HO12" t="e">
        <f>AND(#REF!,"AAAAABb/3d4=")</f>
        <v>#REF!</v>
      </c>
      <c r="HP12" t="e">
        <f>AND(#REF!,"AAAAABb/3d8=")</f>
        <v>#REF!</v>
      </c>
      <c r="HQ12" t="e">
        <f>AND(#REF!,"AAAAABb/3eA=")</f>
        <v>#REF!</v>
      </c>
      <c r="HR12" t="e">
        <f>AND(#REF!,"AAAAABb/3eE=")</f>
        <v>#REF!</v>
      </c>
      <c r="HS12" t="e">
        <f>AND(#REF!,"AAAAABb/3eI=")</f>
        <v>#REF!</v>
      </c>
      <c r="HT12" t="e">
        <f>AND(#REF!,"AAAAABb/3eM=")</f>
        <v>#REF!</v>
      </c>
      <c r="HU12" t="e">
        <f>AND(#REF!,"AAAAABb/3eQ=")</f>
        <v>#REF!</v>
      </c>
      <c r="HV12" t="e">
        <f>AND(#REF!,"AAAAABb/3eU=")</f>
        <v>#REF!</v>
      </c>
      <c r="HW12" t="e">
        <f>AND(#REF!,"AAAAABb/3eY=")</f>
        <v>#REF!</v>
      </c>
      <c r="HX12" t="e">
        <f>AND(#REF!,"AAAAABb/3ec=")</f>
        <v>#REF!</v>
      </c>
      <c r="HY12" t="e">
        <f>AND(#REF!,"AAAAABb/3eg=")</f>
        <v>#REF!</v>
      </c>
      <c r="HZ12" t="e">
        <f>AND(#REF!,"AAAAABb/3ek=")</f>
        <v>#REF!</v>
      </c>
      <c r="IA12" t="e">
        <f>AND(#REF!,"AAAAABb/3eo=")</f>
        <v>#REF!</v>
      </c>
      <c r="IB12" t="e">
        <f>AND(#REF!,"AAAAABb/3es=")</f>
        <v>#REF!</v>
      </c>
      <c r="IC12" t="e">
        <f>AND(#REF!,"AAAAABb/3ew=")</f>
        <v>#REF!</v>
      </c>
      <c r="ID12" t="e">
        <f>AND(#REF!,"AAAAABb/3e0=")</f>
        <v>#REF!</v>
      </c>
      <c r="IE12" t="e">
        <f>AND(#REF!,"AAAAABb/3e4=")</f>
        <v>#REF!</v>
      </c>
      <c r="IF12" t="e">
        <f>AND(#REF!,"AAAAABb/3e8=")</f>
        <v>#REF!</v>
      </c>
      <c r="IG12" t="e">
        <f>AND(#REF!,"AAAAABb/3fA=")</f>
        <v>#REF!</v>
      </c>
      <c r="IH12" t="e">
        <f>AND(#REF!,"AAAAABb/3fE=")</f>
        <v>#REF!</v>
      </c>
      <c r="II12" t="e">
        <f>AND(#REF!,"AAAAABb/3fI=")</f>
        <v>#REF!</v>
      </c>
      <c r="IJ12" t="e">
        <f>AND(#REF!,"AAAAABb/3fM=")</f>
        <v>#REF!</v>
      </c>
      <c r="IK12" t="e">
        <f>AND(#REF!,"AAAAABb/3fQ=")</f>
        <v>#REF!</v>
      </c>
      <c r="IL12" t="e">
        <f>AND(#REF!,"AAAAABb/3fU=")</f>
        <v>#REF!</v>
      </c>
      <c r="IM12" t="e">
        <f>AND(#REF!,"AAAAABb/3fY=")</f>
        <v>#REF!</v>
      </c>
      <c r="IN12" t="e">
        <f>AND(#REF!,"AAAAABb/3fc=")</f>
        <v>#REF!</v>
      </c>
      <c r="IO12" t="e">
        <f>AND(#REF!,"AAAAABb/3fg=")</f>
        <v>#REF!</v>
      </c>
      <c r="IP12" t="e">
        <f>AND(#REF!,"AAAAABb/3fk=")</f>
        <v>#REF!</v>
      </c>
      <c r="IQ12" t="e">
        <f>AND(#REF!,"AAAAABb/3fo=")</f>
        <v>#REF!</v>
      </c>
      <c r="IR12" t="e">
        <f>AND(#REF!,"AAAAABb/3fs=")</f>
        <v>#REF!</v>
      </c>
      <c r="IS12" t="e">
        <f>AND(#REF!,"AAAAABb/3fw=")</f>
        <v>#REF!</v>
      </c>
      <c r="IT12" t="e">
        <f>AND(#REF!,"AAAAABb/3f0=")</f>
        <v>#REF!</v>
      </c>
      <c r="IU12" t="e">
        <f>AND(#REF!,"AAAAABb/3f4=")</f>
        <v>#REF!</v>
      </c>
      <c r="IV12" t="e">
        <f>AND(#REF!,"AAAAABb/3f8=")</f>
        <v>#REF!</v>
      </c>
    </row>
    <row r="13" spans="1:122" x14ac:dyDescent="0.25">
      <c r="A13" t="e">
        <f>AND(#REF!,"AAAAAHp7nwA=")</f>
        <v>#REF!</v>
      </c>
      <c r="B13" t="e">
        <f>AND(#REF!,"AAAAAHp7nwE=")</f>
        <v>#REF!</v>
      </c>
      <c r="C13" t="e">
        <f>AND(#REF!,"AAAAAHp7nwI=")</f>
        <v>#REF!</v>
      </c>
      <c r="D13" t="e">
        <f>AND(#REF!,"AAAAAHp7nwM=")</f>
        <v>#REF!</v>
      </c>
      <c r="E13" t="e">
        <f>AND(#REF!,"AAAAAHp7nwQ=")</f>
        <v>#REF!</v>
      </c>
      <c r="F13" t="e">
        <f>AND(#REF!,"AAAAAHp7nwU=")</f>
        <v>#REF!</v>
      </c>
      <c r="G13" t="e">
        <f>AND(#REF!,"AAAAAHp7nwY=")</f>
        <v>#REF!</v>
      </c>
      <c r="H13" t="e">
        <f>AND(#REF!,"AAAAAHp7nwc=")</f>
        <v>#REF!</v>
      </c>
      <c r="I13" t="e">
        <f>AND(#REF!,"AAAAAHp7nwg=")</f>
        <v>#REF!</v>
      </c>
      <c r="J13" t="e">
        <f>AND(#REF!,"AAAAAHp7nwk=")</f>
        <v>#REF!</v>
      </c>
      <c r="K13" t="e">
        <f>AND(#REF!,"AAAAAHp7nwo=")</f>
        <v>#REF!</v>
      </c>
      <c r="L13" t="e">
        <f>AND(#REF!,"AAAAAHp7nws=")</f>
        <v>#REF!</v>
      </c>
      <c r="M13" t="e">
        <f>AND(#REF!,"AAAAAHp7nww=")</f>
        <v>#REF!</v>
      </c>
      <c r="N13" t="e">
        <f>AND(#REF!,"AAAAAHp7nw0=")</f>
        <v>#REF!</v>
      </c>
      <c r="O13" t="e">
        <f>AND(#REF!,"AAAAAHp7nw4=")</f>
        <v>#REF!</v>
      </c>
      <c r="P13" t="e">
        <f>AND(#REF!,"AAAAAHp7nw8=")</f>
        <v>#REF!</v>
      </c>
      <c r="Q13" t="e">
        <f>AND(#REF!,"AAAAAHp7nxA=")</f>
        <v>#REF!</v>
      </c>
      <c r="R13" t="e">
        <f>AND(#REF!,"AAAAAHp7nxE=")</f>
        <v>#REF!</v>
      </c>
      <c r="S13" t="e">
        <f>AND(#REF!,"AAAAAHp7nxI=")</f>
        <v>#REF!</v>
      </c>
      <c r="T13" t="e">
        <f>AND(#REF!,"AAAAAHp7nxM=")</f>
        <v>#REF!</v>
      </c>
      <c r="U13" t="e">
        <f>AND(#REF!,"AAAAAHp7nxQ=")</f>
        <v>#REF!</v>
      </c>
      <c r="V13" t="e">
        <f>AND(#REF!,"AAAAAHp7nxU=")</f>
        <v>#REF!</v>
      </c>
      <c r="W13" t="e">
        <f>AND(#REF!,"AAAAAHp7nxY=")</f>
        <v>#REF!</v>
      </c>
      <c r="X13" t="e">
        <f>AND(#REF!,"AAAAAHp7nxc=")</f>
        <v>#REF!</v>
      </c>
      <c r="Y13" t="e">
        <f>AND(#REF!,"AAAAAHp7nxg=")</f>
        <v>#REF!</v>
      </c>
      <c r="Z13" t="e">
        <f>AND(#REF!,"AAAAAHp7nxk=")</f>
        <v>#REF!</v>
      </c>
      <c r="AA13" t="e">
        <f>AND(#REF!,"AAAAAHp7nxo=")</f>
        <v>#REF!</v>
      </c>
      <c r="AB13" t="e">
        <f>AND(#REF!,"AAAAAHp7nxs=")</f>
        <v>#REF!</v>
      </c>
      <c r="AC13" t="e">
        <f>AND(#REF!,"AAAAAHp7nxw=")</f>
        <v>#REF!</v>
      </c>
      <c r="AD13" t="e">
        <f>AND(#REF!,"AAAAAHp7nx0=")</f>
        <v>#REF!</v>
      </c>
      <c r="AE13" t="e">
        <f>AND(#REF!,"AAAAAHp7nx4=")</f>
        <v>#REF!</v>
      </c>
      <c r="AF13" t="e">
        <f>AND(#REF!,"AAAAAHp7nx8=")</f>
        <v>#REF!</v>
      </c>
      <c r="AG13" t="e">
        <f>AND(#REF!,"AAAAAHp7nyA=")</f>
        <v>#REF!</v>
      </c>
      <c r="AH13" t="e">
        <f>AND(#REF!,"AAAAAHp7nyE=")</f>
        <v>#REF!</v>
      </c>
      <c r="AI13" t="e">
        <f>AND(#REF!,"AAAAAHp7nyI=")</f>
        <v>#REF!</v>
      </c>
      <c r="AJ13" t="e">
        <f>AND(#REF!,"AAAAAHp7nyM=")</f>
        <v>#REF!</v>
      </c>
      <c r="AK13" t="e">
        <f>AND(#REF!,"AAAAAHp7nyQ=")</f>
        <v>#REF!</v>
      </c>
      <c r="AL13" t="e">
        <f>AND(#REF!,"AAAAAHp7nyU=")</f>
        <v>#REF!</v>
      </c>
      <c r="AM13" t="e">
        <f>AND(#REF!,"AAAAAHp7nyY=")</f>
        <v>#REF!</v>
      </c>
      <c r="AN13" t="e">
        <f>AND(#REF!,"AAAAAHp7nyc=")</f>
        <v>#REF!</v>
      </c>
      <c r="AO13" t="e">
        <f>AND(#REF!,"AAAAAHp7nyg=")</f>
        <v>#REF!</v>
      </c>
      <c r="AP13" t="e">
        <f>AND(#REF!,"AAAAAHp7nyk=")</f>
        <v>#REF!</v>
      </c>
      <c r="AQ13" t="e">
        <f>AND(#REF!,"AAAAAHp7nyo=")</f>
        <v>#REF!</v>
      </c>
      <c r="AR13" t="e">
        <f>AND(#REF!,"AAAAAHp7nys=")</f>
        <v>#REF!</v>
      </c>
      <c r="AS13" t="e">
        <f>AND(#REF!,"AAAAAHp7nyw=")</f>
        <v>#REF!</v>
      </c>
      <c r="AT13" t="e">
        <f>AND(#REF!,"AAAAAHp7ny0=")</f>
        <v>#REF!</v>
      </c>
      <c r="AU13" t="e">
        <f>AND(#REF!,"AAAAAHp7ny4=")</f>
        <v>#REF!</v>
      </c>
      <c r="AV13" t="e">
        <f>AND(#REF!,"AAAAAHp7ny8=")</f>
        <v>#REF!</v>
      </c>
      <c r="AW13" t="e">
        <f>AND(#REF!,"AAAAAHp7nzA=")</f>
        <v>#REF!</v>
      </c>
      <c r="AX13" t="e">
        <f>AND(#REF!,"AAAAAHp7nzE=")</f>
        <v>#REF!</v>
      </c>
      <c r="AY13" t="e">
        <f>AND(#REF!,"AAAAAHp7nzI=")</f>
        <v>#REF!</v>
      </c>
      <c r="AZ13" t="e">
        <f>AND(#REF!,"AAAAAHp7nzM=")</f>
        <v>#REF!</v>
      </c>
      <c r="BA13" t="e">
        <f>AND(#REF!,"AAAAAHp7nzQ=")</f>
        <v>#REF!</v>
      </c>
      <c r="BB13" t="e">
        <f>AND(#REF!,"AAAAAHp7nzU=")</f>
        <v>#REF!</v>
      </c>
      <c r="BC13" t="e">
        <f>AND(#REF!,"AAAAAHp7nzY=")</f>
        <v>#REF!</v>
      </c>
      <c r="BD13" t="e">
        <f>AND(#REF!,"AAAAAHp7nzc=")</f>
        <v>#REF!</v>
      </c>
      <c r="BE13" t="e">
        <f>AND(#REF!,"AAAAAHp7nzg=")</f>
        <v>#REF!</v>
      </c>
      <c r="BF13" t="e">
        <f>AND(#REF!,"AAAAAHp7nzk=")</f>
        <v>#REF!</v>
      </c>
      <c r="BG13" t="e">
        <f>AND(#REF!,"AAAAAHp7nzo=")</f>
        <v>#REF!</v>
      </c>
      <c r="BH13" t="e">
        <f>AND(#REF!,"AAAAAHp7nzs=")</f>
        <v>#REF!</v>
      </c>
      <c r="BI13" t="e">
        <f>AND(#REF!,"AAAAAHp7nzw=")</f>
        <v>#REF!</v>
      </c>
      <c r="BJ13" t="e">
        <f>AND(#REF!,"AAAAAHp7nz0=")</f>
        <v>#REF!</v>
      </c>
      <c r="BK13" t="e">
        <f>AND(#REF!,"AAAAAHp7nz4=")</f>
        <v>#REF!</v>
      </c>
      <c r="BL13" t="e">
        <f>AND(#REF!,"AAAAAHp7nz8=")</f>
        <v>#REF!</v>
      </c>
      <c r="BM13" t="e">
        <f>AND(#REF!,"AAAAAHp7n0A=")</f>
        <v>#REF!</v>
      </c>
      <c r="BN13" t="e">
        <f>AND(#REF!,"AAAAAHp7n0E=")</f>
        <v>#REF!</v>
      </c>
      <c r="BO13" t="e">
        <f>AND(#REF!,"AAAAAHp7n0I=")</f>
        <v>#REF!</v>
      </c>
      <c r="BP13" t="e">
        <f>AND(#REF!,"AAAAAHp7n0M=")</f>
        <v>#REF!</v>
      </c>
      <c r="BQ13" t="e">
        <f>AND(#REF!,"AAAAAHp7n0Q=")</f>
        <v>#REF!</v>
      </c>
      <c r="BR13" t="e">
        <f>AND(#REF!,"AAAAAHp7n0U=")</f>
        <v>#REF!</v>
      </c>
      <c r="BS13" t="e">
        <f>AND(#REF!,"AAAAAHp7n0Y=")</f>
        <v>#REF!</v>
      </c>
      <c r="BT13" t="e">
        <f>AND(#REF!,"AAAAAHp7n0c=")</f>
        <v>#REF!</v>
      </c>
      <c r="BU13" t="e">
        <f>AND(#REF!,"AAAAAHp7n0g=")</f>
        <v>#REF!</v>
      </c>
      <c r="BV13" t="e">
        <f>AND(#REF!,"AAAAAHp7n0k=")</f>
        <v>#REF!</v>
      </c>
      <c r="BW13" t="e">
        <f>AND(#REF!,"AAAAAHp7n0o=")</f>
        <v>#REF!</v>
      </c>
      <c r="BX13" t="e">
        <f>AND(#REF!,"AAAAAHp7n0s=")</f>
        <v>#REF!</v>
      </c>
      <c r="BY13" t="e">
        <f>AND(#REF!,"AAAAAHp7n0w=")</f>
        <v>#REF!</v>
      </c>
      <c r="BZ13" t="e">
        <f>AND(#REF!,"AAAAAHp7n00=")</f>
        <v>#REF!</v>
      </c>
      <c r="CA13" t="e">
        <f>AND(#REF!,"AAAAAHp7n04=")</f>
        <v>#REF!</v>
      </c>
      <c r="CB13" t="e">
        <f>AND(#REF!,"AAAAAHp7n08=")</f>
        <v>#REF!</v>
      </c>
      <c r="CC13" t="e">
        <f>AND(#REF!,"AAAAAHp7n1A=")</f>
        <v>#REF!</v>
      </c>
      <c r="CD13" t="e">
        <f>AND(#REF!,"AAAAAHp7n1E=")</f>
        <v>#REF!</v>
      </c>
      <c r="CE13" t="e">
        <f>AND(#REF!,"AAAAAHp7n1I=")</f>
        <v>#REF!</v>
      </c>
      <c r="CF13" t="e">
        <f>AND(#REF!,"AAAAAHp7n1M=")</f>
        <v>#REF!</v>
      </c>
      <c r="CG13" t="e">
        <f>AND(#REF!,"AAAAAHp7n1Q=")</f>
        <v>#REF!</v>
      </c>
      <c r="CH13" t="e">
        <f>AND(#REF!,"AAAAAHp7n1U=")</f>
        <v>#REF!</v>
      </c>
      <c r="CI13" t="e">
        <f>AND(#REF!,"AAAAAHp7n1Y=")</f>
        <v>#REF!</v>
      </c>
      <c r="CJ13" t="e">
        <f>AND(#REF!,"AAAAAHp7n1c=")</f>
        <v>#REF!</v>
      </c>
      <c r="CK13" t="e">
        <f>AND(#REF!,"AAAAAHp7n1g=")</f>
        <v>#REF!</v>
      </c>
      <c r="CL13" t="e">
        <f>AND(#REF!,"AAAAAHp7n1k=")</f>
        <v>#REF!</v>
      </c>
      <c r="CM13" t="e">
        <f>AND(#REF!,"AAAAAHp7n1o=")</f>
        <v>#REF!</v>
      </c>
      <c r="CN13" t="e">
        <f>AND(#REF!,"AAAAAHp7n1s=")</f>
        <v>#REF!</v>
      </c>
      <c r="CO13" t="e">
        <f>AND(#REF!,"AAAAAHp7n1w=")</f>
        <v>#REF!</v>
      </c>
      <c r="CP13" t="e">
        <f>AND(#REF!,"AAAAAHp7n10=")</f>
        <v>#REF!</v>
      </c>
      <c r="CQ13" t="e">
        <f>AND(#REF!,"AAAAAHp7n14=")</f>
        <v>#REF!</v>
      </c>
      <c r="CR13" t="e">
        <f>AND(#REF!,"AAAAAHp7n18=")</f>
        <v>#REF!</v>
      </c>
      <c r="CS13" t="e">
        <f>AND(#REF!,"AAAAAHp7n2A=")</f>
        <v>#REF!</v>
      </c>
      <c r="CT13" t="e">
        <f>AND(#REF!,"AAAAAHp7n2E=")</f>
        <v>#REF!</v>
      </c>
      <c r="CU13" t="e">
        <f>AND(#REF!,"AAAAAHp7n2I=")</f>
        <v>#REF!</v>
      </c>
      <c r="CV13" t="e">
        <f>AND(#REF!,"AAAAAHp7n2M=")</f>
        <v>#REF!</v>
      </c>
      <c r="CW13" t="e">
        <f>AND(#REF!,"AAAAAHp7n2Q=")</f>
        <v>#REF!</v>
      </c>
      <c r="CX13" t="e">
        <f>AND(#REF!,"AAAAAHp7n2U=")</f>
        <v>#REF!</v>
      </c>
      <c r="CY13" t="e">
        <f>AND(#REF!,"AAAAAHp7n2Y=")</f>
        <v>#REF!</v>
      </c>
      <c r="CZ13" t="e">
        <f>AND(#REF!,"AAAAAHp7n2c=")</f>
        <v>#REF!</v>
      </c>
      <c r="DA13" t="e">
        <f>AND(#REF!,"AAAAAHp7n2g=")</f>
        <v>#REF!</v>
      </c>
      <c r="DB13" t="e">
        <f>AND(#REF!,"AAAAAHp7n2k=")</f>
        <v>#REF!</v>
      </c>
      <c r="DC13" t="e">
        <f>AND(#REF!,"AAAAAHp7n2o=")</f>
        <v>#REF!</v>
      </c>
      <c r="DD13" t="e">
        <f>AND(#REF!,"AAAAAHp7n2s=")</f>
        <v>#REF!</v>
      </c>
      <c r="DE13" t="e">
        <f>AND(#REF!,"AAAAAHp7n2w=")</f>
        <v>#REF!</v>
      </c>
      <c r="DF13" t="e">
        <f>AND(#REF!,"AAAAAHp7n20=")</f>
        <v>#REF!</v>
      </c>
      <c r="DG13" t="e">
        <f>AND(#REF!,"AAAAAHp7n24=")</f>
        <v>#REF!</v>
      </c>
      <c r="DH13" t="e">
        <f>AND(#REF!,"AAAAAHp7n28=")</f>
        <v>#REF!</v>
      </c>
      <c r="DI13" t="e">
        <f>AND(#REF!,"AAAAAHp7n3A=")</f>
        <v>#REF!</v>
      </c>
      <c r="DJ13" t="e">
        <f>AND(#REF!,"AAAAAHp7n3E=")</f>
        <v>#REF!</v>
      </c>
      <c r="DK13" t="e">
        <f>AND(#REF!,"AAAAAHp7n3I=")</f>
        <v>#REF!</v>
      </c>
      <c r="DL13" t="e">
        <f>IF(#REF!,"AAAAAHp7n3M=",0)</f>
        <v>#REF!</v>
      </c>
      <c r="DM13" t="e">
        <f>IF(#REF!,"AAAAAHp7n3Q=",0)</f>
        <v>#REF!</v>
      </c>
      <c r="DN13" t="e">
        <f>IF(#REF!,"AAAAAHp7n3U=",0)</f>
        <v>#REF!</v>
      </c>
      <c r="DO13" t="e">
        <f>IF(#REF!,"AAAAAHp7n3Y=",0)</f>
        <v>#REF!</v>
      </c>
      <c r="DP13" t="e">
        <f>IF(#REF!,"AAAAAHp7n3c=",0)</f>
        <v>#REF!</v>
      </c>
      <c r="DQ13" t="e">
        <f>IF(#REF!,"AAAAAHp7n3g=",0)</f>
        <v>#REF!</v>
      </c>
      <c r="DR13" t="e">
        <f>IF(#REF!,"AAAAAHp7n3k=",0)</f>
        <v>#REF!</v>
      </c>
    </row>
    <row r="14" spans="1:256" x14ac:dyDescent="0.25">
      <c r="A14" t="e">
        <f>AND('Pay Bill'!A42,"AAAAADf5zwA=")</f>
        <v>#VALUE!</v>
      </c>
      <c r="B14" t="e">
        <f>AND('Pay Bill'!B42,"AAAAADf5zwE=")</f>
        <v>#VALUE!</v>
      </c>
      <c r="C14" t="e">
        <f>AND('Pay Bill'!C42,"AAAAADf5zwI=")</f>
        <v>#VALUE!</v>
      </c>
      <c r="D14" t="e">
        <f>AND('Pay Bill'!D42,"AAAAADf5zwM=")</f>
        <v>#VALUE!</v>
      </c>
      <c r="E14" t="e">
        <f>AND('Pay Bill'!E42,"AAAAADf5zwQ=")</f>
        <v>#VALUE!</v>
      </c>
      <c r="F14" t="e">
        <f>AND('Pay Bill'!F42,"AAAAADf5zwU=")</f>
        <v>#VALUE!</v>
      </c>
      <c r="G14" t="e">
        <f>AND('Pay Bill'!G42,"AAAAADf5zwY=")</f>
        <v>#VALUE!</v>
      </c>
      <c r="H14" t="e">
        <f>AND('Pay Bill'!H42,"AAAAADf5zwc=")</f>
        <v>#VALUE!</v>
      </c>
      <c r="I14" t="e">
        <f>AND('Pay Bill'!I42,"AAAAADf5zwg=")</f>
        <v>#VALUE!</v>
      </c>
      <c r="J14" t="e">
        <f>AND('Pay Bill'!J42,"AAAAADf5zwk=")</f>
        <v>#VALUE!</v>
      </c>
      <c r="K14" t="e">
        <f>AND('Pay Bill'!#REF!,"AAAAADf5zwo=")</f>
        <v>#REF!</v>
      </c>
      <c r="L14" t="e">
        <f>AND('Pay Bill'!#REF!,"AAAAADf5zws=")</f>
        <v>#REF!</v>
      </c>
      <c r="M14" t="e">
        <f>AND('Pay Bill'!#REF!,"AAAAADf5zww=")</f>
        <v>#REF!</v>
      </c>
      <c r="N14" t="e">
        <f>AND('Pay Bill'!K42,"AAAAADf5zw0=")</f>
        <v>#VALUE!</v>
      </c>
      <c r="O14" t="e">
        <f>AND('Pay Bill'!L42,"AAAAADf5zw4=")</f>
        <v>#VALUE!</v>
      </c>
      <c r="P14" t="e">
        <f>AND('Pay Bill'!M42,"AAAAADf5zw8=")</f>
        <v>#VALUE!</v>
      </c>
      <c r="Q14" t="e">
        <f>AND('Pay Bill'!#REF!,"AAAAADf5zxA=")</f>
        <v>#REF!</v>
      </c>
      <c r="R14" t="e">
        <f>AND('Pay Bill'!#REF!,"AAAAADf5zxE=")</f>
        <v>#REF!</v>
      </c>
      <c r="S14" t="e">
        <f>AND('Pay Bill'!#REF!,"AAAAADf5zxI=")</f>
        <v>#REF!</v>
      </c>
      <c r="T14" t="e">
        <f>AND('Pay Bill'!#REF!,"AAAAADf5zxM=")</f>
        <v>#REF!</v>
      </c>
      <c r="U14" t="e">
        <f>AND('Pay Bill'!N42,"AAAAADf5zxQ=")</f>
        <v>#VALUE!</v>
      </c>
      <c r="V14" t="e">
        <f>AND('Pay Bill'!A43,"AAAAADf5zxU=")</f>
        <v>#VALUE!</v>
      </c>
      <c r="W14" t="e">
        <f>AND('Pay Bill'!B43,"AAAAADf5zxY=")</f>
        <v>#VALUE!</v>
      </c>
      <c r="X14" t="e">
        <f>AND('Pay Bill'!C43,"AAAAADf5zxc=")</f>
        <v>#VALUE!</v>
      </c>
      <c r="Y14" t="e">
        <f>AND('Pay Bill'!D43,"AAAAADf5zxg=")</f>
        <v>#VALUE!</v>
      </c>
      <c r="Z14" t="e">
        <f>AND('Pay Bill'!E43,"AAAAADf5zxk=")</f>
        <v>#VALUE!</v>
      </c>
      <c r="AA14" t="e">
        <f>AND('Pay Bill'!F43,"AAAAADf5zxo=")</f>
        <v>#VALUE!</v>
      </c>
      <c r="AB14" t="e">
        <f>AND('Pay Bill'!G43,"AAAAADf5zxs=")</f>
        <v>#VALUE!</v>
      </c>
      <c r="AC14" t="e">
        <f>AND('Pay Bill'!H43,"AAAAADf5zxw=")</f>
        <v>#VALUE!</v>
      </c>
      <c r="AD14" t="e">
        <f>AND('Pay Bill'!I43,"AAAAADf5zx0=")</f>
        <v>#VALUE!</v>
      </c>
      <c r="AE14" t="e">
        <f>AND('Pay Bill'!J43,"AAAAADf5zx4=")</f>
        <v>#VALUE!</v>
      </c>
      <c r="AF14" t="e">
        <f>AND('Pay Bill'!#REF!,"AAAAADf5zx8=")</f>
        <v>#REF!</v>
      </c>
      <c r="AG14" t="e">
        <f>AND('Pay Bill'!#REF!,"AAAAADf5zyA=")</f>
        <v>#REF!</v>
      </c>
      <c r="AH14" t="e">
        <f>AND('Pay Bill'!#REF!,"AAAAADf5zyE=")</f>
        <v>#REF!</v>
      </c>
      <c r="AI14" t="e">
        <f>AND('Pay Bill'!K43,"AAAAADf5zyI=")</f>
        <v>#VALUE!</v>
      </c>
      <c r="AJ14" t="e">
        <f>AND('Pay Bill'!L43,"AAAAADf5zyM=")</f>
        <v>#VALUE!</v>
      </c>
      <c r="AK14" t="e">
        <f>AND('Pay Bill'!M43,"AAAAADf5zyQ=")</f>
        <v>#VALUE!</v>
      </c>
      <c r="AL14" t="e">
        <f>AND('Pay Bill'!#REF!,"AAAAADf5zyU=")</f>
        <v>#REF!</v>
      </c>
      <c r="AM14" t="e">
        <f>AND('Pay Bill'!#REF!,"AAAAADf5zyY=")</f>
        <v>#REF!</v>
      </c>
      <c r="AN14" t="e">
        <f>AND('Pay Bill'!#REF!,"AAAAADf5zyc=")</f>
        <v>#REF!</v>
      </c>
      <c r="AO14" t="e">
        <f>AND('Pay Bill'!#REF!,"AAAAADf5zyg=")</f>
        <v>#REF!</v>
      </c>
      <c r="AP14" t="e">
        <f>AND('Pay Bill'!N43,"AAAAADf5zyk=")</f>
        <v>#VALUE!</v>
      </c>
      <c r="AQ14" t="e">
        <f>AND('Pay Bill'!A44,"AAAAADf5zyo=")</f>
        <v>#VALUE!</v>
      </c>
      <c r="AR14" t="e">
        <f>AND('Pay Bill'!B44,"AAAAADf5zys=")</f>
        <v>#VALUE!</v>
      </c>
      <c r="AS14" t="e">
        <f>AND('Pay Bill'!C44,"AAAAADf5zyw=")</f>
        <v>#VALUE!</v>
      </c>
      <c r="AT14" t="e">
        <f>AND('Pay Bill'!D44,"AAAAADf5zy0=")</f>
        <v>#VALUE!</v>
      </c>
      <c r="AU14" t="e">
        <f>AND('Pay Bill'!E44,"AAAAADf5zy4=")</f>
        <v>#VALUE!</v>
      </c>
      <c r="AV14" t="e">
        <f>AND('Pay Bill'!F44,"AAAAADf5zy8=")</f>
        <v>#VALUE!</v>
      </c>
      <c r="AW14" t="e">
        <f>AND('Pay Bill'!G44,"AAAAADf5zzA=")</f>
        <v>#VALUE!</v>
      </c>
      <c r="AX14" t="e">
        <f>AND('Pay Bill'!H44,"AAAAADf5zzE=")</f>
        <v>#VALUE!</v>
      </c>
      <c r="AY14" t="e">
        <f>AND('Pay Bill'!I44,"AAAAADf5zzI=")</f>
        <v>#VALUE!</v>
      </c>
      <c r="AZ14" t="e">
        <f>AND('Pay Bill'!J44,"AAAAADf5zzM=")</f>
        <v>#VALUE!</v>
      </c>
      <c r="BA14" t="e">
        <f>AND('Pay Bill'!#REF!,"AAAAADf5zzQ=")</f>
        <v>#REF!</v>
      </c>
      <c r="BB14" t="e">
        <f>AND('Pay Bill'!#REF!,"AAAAADf5zzU=")</f>
        <v>#REF!</v>
      </c>
      <c r="BC14" t="e">
        <f>AND('Pay Bill'!#REF!,"AAAAADf5zzY=")</f>
        <v>#REF!</v>
      </c>
      <c r="BD14" t="e">
        <f>AND('Pay Bill'!K44,"AAAAADf5zzc=")</f>
        <v>#VALUE!</v>
      </c>
      <c r="BE14" t="e">
        <f>AND('Pay Bill'!L44,"AAAAADf5zzg=")</f>
        <v>#VALUE!</v>
      </c>
      <c r="BF14" t="e">
        <f>AND('Pay Bill'!M44,"AAAAADf5zzk=")</f>
        <v>#VALUE!</v>
      </c>
      <c r="BG14" t="e">
        <f>AND('Pay Bill'!#REF!,"AAAAADf5zzo=")</f>
        <v>#REF!</v>
      </c>
      <c r="BH14" t="e">
        <f>AND('Pay Bill'!#REF!,"AAAAADf5zzs=")</f>
        <v>#REF!</v>
      </c>
      <c r="BI14" t="e">
        <f>AND('Pay Bill'!#REF!,"AAAAADf5zzw=")</f>
        <v>#REF!</v>
      </c>
      <c r="BJ14" t="e">
        <f>AND('Pay Bill'!#REF!,"AAAAADf5zz0=")</f>
        <v>#REF!</v>
      </c>
      <c r="BK14" t="e">
        <f>AND('Pay Bill'!N44,"AAAAADf5zz4=")</f>
        <v>#VALUE!</v>
      </c>
      <c r="BL14" t="e">
        <f>AND('Pay Bill'!A45,"AAAAADf5zz8=")</f>
        <v>#VALUE!</v>
      </c>
      <c r="BM14" t="e">
        <f>AND('Pay Bill'!B45,"AAAAADf5z0A=")</f>
        <v>#VALUE!</v>
      </c>
      <c r="BN14" t="e">
        <f>AND('Pay Bill'!C45,"AAAAADf5z0E=")</f>
        <v>#VALUE!</v>
      </c>
      <c r="BO14" t="e">
        <f>AND('Pay Bill'!D45,"AAAAADf5z0I=")</f>
        <v>#VALUE!</v>
      </c>
      <c r="BP14" t="e">
        <f>AND('Pay Bill'!E45,"AAAAADf5z0M=")</f>
        <v>#VALUE!</v>
      </c>
      <c r="BQ14" t="e">
        <f>AND('Pay Bill'!F45,"AAAAADf5z0Q=")</f>
        <v>#VALUE!</v>
      </c>
      <c r="BR14" t="e">
        <f>AND('Pay Bill'!G45,"AAAAADf5z0U=")</f>
        <v>#VALUE!</v>
      </c>
      <c r="BS14" t="e">
        <f>AND('Pay Bill'!H45,"AAAAADf5z0Y=")</f>
        <v>#VALUE!</v>
      </c>
      <c r="BT14" t="e">
        <f>AND('Pay Bill'!I45,"AAAAADf5z0c=")</f>
        <v>#VALUE!</v>
      </c>
      <c r="BU14" t="e">
        <f>AND('Pay Bill'!J45,"AAAAADf5z0g=")</f>
        <v>#VALUE!</v>
      </c>
      <c r="BV14" t="e">
        <f>AND('Pay Bill'!#REF!,"AAAAADf5z0k=")</f>
        <v>#REF!</v>
      </c>
      <c r="BW14" t="e">
        <f>AND('Pay Bill'!#REF!,"AAAAADf5z0o=")</f>
        <v>#REF!</v>
      </c>
      <c r="BX14" t="e">
        <f>AND('Pay Bill'!#REF!,"AAAAADf5z0s=")</f>
        <v>#REF!</v>
      </c>
      <c r="BY14" t="e">
        <f>AND('Pay Bill'!K45,"AAAAADf5z0w=")</f>
        <v>#VALUE!</v>
      </c>
      <c r="BZ14" t="e">
        <f>AND('Pay Bill'!L45,"AAAAADf5z00=")</f>
        <v>#VALUE!</v>
      </c>
      <c r="CA14" t="e">
        <f>AND('Pay Bill'!M45,"AAAAADf5z04=")</f>
        <v>#VALUE!</v>
      </c>
      <c r="CB14" t="e">
        <f>AND('Pay Bill'!#REF!,"AAAAADf5z08=")</f>
        <v>#REF!</v>
      </c>
      <c r="CC14" t="e">
        <f>AND('Pay Bill'!#REF!,"AAAAADf5z1A=")</f>
        <v>#REF!</v>
      </c>
      <c r="CD14" t="e">
        <f>AND('Pay Bill'!#REF!,"AAAAADf5z1E=")</f>
        <v>#REF!</v>
      </c>
      <c r="CE14" t="e">
        <f>AND('Pay Bill'!#REF!,"AAAAADf5z1I=")</f>
        <v>#REF!</v>
      </c>
      <c r="CF14" t="e">
        <f>AND('Pay Bill'!N45,"AAAAADf5z1M=")</f>
        <v>#VALUE!</v>
      </c>
      <c r="CG14" t="e">
        <f>AND('Pay Bill'!A46,"AAAAADf5z1Q=")</f>
        <v>#VALUE!</v>
      </c>
      <c r="CH14" t="e">
        <f>AND('Pay Bill'!B46,"AAAAADf5z1U=")</f>
        <v>#VALUE!</v>
      </c>
      <c r="CI14" t="e">
        <f>AND('Pay Bill'!C46,"AAAAADf5z1Y=")</f>
        <v>#VALUE!</v>
      </c>
      <c r="CJ14" t="e">
        <f>AND('Pay Bill'!D46,"AAAAADf5z1c=")</f>
        <v>#VALUE!</v>
      </c>
      <c r="CK14" t="e">
        <f>AND('Pay Bill'!E46,"AAAAADf5z1g=")</f>
        <v>#VALUE!</v>
      </c>
      <c r="CL14" t="e">
        <f>AND('Pay Bill'!F46,"AAAAADf5z1k=")</f>
        <v>#VALUE!</v>
      </c>
      <c r="CM14" t="e">
        <f>AND('Pay Bill'!G46,"AAAAADf5z1o=")</f>
        <v>#VALUE!</v>
      </c>
      <c r="CN14" t="e">
        <f>AND('Pay Bill'!H46,"AAAAADf5z1s=")</f>
        <v>#VALUE!</v>
      </c>
      <c r="CO14" t="e">
        <f>AND('Pay Bill'!I46,"AAAAADf5z1w=")</f>
        <v>#VALUE!</v>
      </c>
      <c r="CP14" t="e">
        <f>AND('Pay Bill'!J46,"AAAAADf5z10=")</f>
        <v>#VALUE!</v>
      </c>
      <c r="CQ14" t="e">
        <f>AND('Pay Bill'!#REF!,"AAAAADf5z14=")</f>
        <v>#REF!</v>
      </c>
      <c r="CR14" t="e">
        <f>AND('Pay Bill'!#REF!,"AAAAADf5z18=")</f>
        <v>#REF!</v>
      </c>
      <c r="CS14" t="e">
        <f>AND('Pay Bill'!#REF!,"AAAAADf5z2A=")</f>
        <v>#REF!</v>
      </c>
      <c r="CT14" t="e">
        <f>AND('Pay Bill'!K46,"AAAAADf5z2E=")</f>
        <v>#VALUE!</v>
      </c>
      <c r="CU14" t="e">
        <f>AND('Pay Bill'!L46,"AAAAADf5z2I=")</f>
        <v>#VALUE!</v>
      </c>
      <c r="CV14" t="e">
        <f>AND('Pay Bill'!M46,"AAAAADf5z2M=")</f>
        <v>#VALUE!</v>
      </c>
      <c r="CW14" t="e">
        <f>AND('Pay Bill'!#REF!,"AAAAADf5z2Q=")</f>
        <v>#REF!</v>
      </c>
      <c r="CX14" t="e">
        <f>AND('Pay Bill'!#REF!,"AAAAADf5z2U=")</f>
        <v>#REF!</v>
      </c>
      <c r="CY14" t="e">
        <f>AND('Pay Bill'!#REF!,"AAAAADf5z2Y=")</f>
        <v>#REF!</v>
      </c>
      <c r="CZ14" t="e">
        <f>AND('Pay Bill'!#REF!,"AAAAADf5z2c=")</f>
        <v>#REF!</v>
      </c>
      <c r="DA14" t="e">
        <f>AND('Pay Bill'!N46,"AAAAADf5z2g=")</f>
        <v>#VALUE!</v>
      </c>
      <c r="DB14" t="e">
        <f>AND('Pay Bill'!A47,"AAAAADf5z2k=")</f>
        <v>#VALUE!</v>
      </c>
      <c r="DC14" t="e">
        <f>AND('Pay Bill'!B47,"AAAAADf5z2o=")</f>
        <v>#VALUE!</v>
      </c>
      <c r="DD14" t="e">
        <f>AND('Pay Bill'!C47,"AAAAADf5z2s=")</f>
        <v>#VALUE!</v>
      </c>
      <c r="DE14" t="e">
        <f>AND('Pay Bill'!D47,"AAAAADf5z2w=")</f>
        <v>#VALUE!</v>
      </c>
      <c r="DF14" t="e">
        <f>AND('Pay Bill'!E47,"AAAAADf5z20=")</f>
        <v>#VALUE!</v>
      </c>
      <c r="DG14" t="e">
        <f>AND('Pay Bill'!F47,"AAAAADf5z24=")</f>
        <v>#VALUE!</v>
      </c>
      <c r="DH14" t="e">
        <f>AND('Pay Bill'!G47,"AAAAADf5z28=")</f>
        <v>#VALUE!</v>
      </c>
      <c r="DI14" t="e">
        <f>AND('Pay Bill'!H47,"AAAAADf5z3A=")</f>
        <v>#VALUE!</v>
      </c>
      <c r="DJ14" t="e">
        <f>AND('Pay Bill'!I47,"AAAAADf5z3E=")</f>
        <v>#VALUE!</v>
      </c>
      <c r="DK14" t="e">
        <f>AND('Pay Bill'!J47,"AAAAADf5z3I=")</f>
        <v>#VALUE!</v>
      </c>
      <c r="DL14" t="e">
        <f>AND('Pay Bill'!#REF!,"AAAAADf5z3M=")</f>
        <v>#REF!</v>
      </c>
      <c r="DM14" t="e">
        <f>AND('Pay Bill'!#REF!,"AAAAADf5z3Q=")</f>
        <v>#REF!</v>
      </c>
      <c r="DN14" t="e">
        <f>AND('Pay Bill'!#REF!,"AAAAADf5z3U=")</f>
        <v>#REF!</v>
      </c>
      <c r="DO14" t="e">
        <f>AND('Pay Bill'!K47,"AAAAADf5z3Y=")</f>
        <v>#VALUE!</v>
      </c>
      <c r="DP14" t="e">
        <f>AND('Pay Bill'!L47,"AAAAADf5z3c=")</f>
        <v>#VALUE!</v>
      </c>
      <c r="DQ14" t="e">
        <f>AND('Pay Bill'!M47,"AAAAADf5z3g=")</f>
        <v>#VALUE!</v>
      </c>
      <c r="DR14" t="e">
        <f>AND('Pay Bill'!#REF!,"AAAAADf5z3k=")</f>
        <v>#REF!</v>
      </c>
      <c r="DS14" t="e">
        <f>AND('Pay Bill'!#REF!,"AAAAADf5z3o=")</f>
        <v>#REF!</v>
      </c>
      <c r="DT14" t="e">
        <f>AND('Pay Bill'!#REF!,"AAAAADf5z3s=")</f>
        <v>#REF!</v>
      </c>
      <c r="DU14" t="e">
        <f>AND('Pay Bill'!#REF!,"AAAAADf5z3w=")</f>
        <v>#REF!</v>
      </c>
      <c r="DV14" t="e">
        <f>AND('Pay Bill'!N47,"AAAAADf5z30=")</f>
        <v>#VALUE!</v>
      </c>
      <c r="DW14" t="e">
        <f>AND('Pay Bill'!A48,"AAAAADf5z34=")</f>
        <v>#VALUE!</v>
      </c>
      <c r="DX14" t="e">
        <f>AND('Pay Bill'!B48,"AAAAADf5z38=")</f>
        <v>#VALUE!</v>
      </c>
      <c r="DY14" t="e">
        <f>AND('Pay Bill'!C48,"AAAAADf5z4A=")</f>
        <v>#VALUE!</v>
      </c>
      <c r="DZ14" t="e">
        <f>AND('Pay Bill'!D48,"AAAAADf5z4E=")</f>
        <v>#VALUE!</v>
      </c>
      <c r="EA14" t="e">
        <f>AND('Pay Bill'!E48,"AAAAADf5z4I=")</f>
        <v>#VALUE!</v>
      </c>
      <c r="EB14" t="e">
        <f>AND('Pay Bill'!F48,"AAAAADf5z4M=")</f>
        <v>#VALUE!</v>
      </c>
      <c r="EC14" t="e">
        <f>AND('Pay Bill'!G48,"AAAAADf5z4Q=")</f>
        <v>#VALUE!</v>
      </c>
      <c r="ED14" t="e">
        <f>AND('Pay Bill'!H48,"AAAAADf5z4U=")</f>
        <v>#VALUE!</v>
      </c>
      <c r="EE14" t="e">
        <f>AND('Pay Bill'!I48,"AAAAADf5z4Y=")</f>
        <v>#VALUE!</v>
      </c>
      <c r="EF14" t="e">
        <f>AND('Pay Bill'!J48,"AAAAADf5z4c=")</f>
        <v>#VALUE!</v>
      </c>
      <c r="EG14" t="e">
        <f>AND('Pay Bill'!#REF!,"AAAAADf5z4g=")</f>
        <v>#REF!</v>
      </c>
      <c r="EH14" t="e">
        <f>AND('Pay Bill'!#REF!,"AAAAADf5z4k=")</f>
        <v>#REF!</v>
      </c>
      <c r="EI14" t="e">
        <f>AND('Pay Bill'!#REF!,"AAAAADf5z4o=")</f>
        <v>#REF!</v>
      </c>
      <c r="EJ14" t="e">
        <f>AND('Pay Bill'!K48,"AAAAADf5z4s=")</f>
        <v>#VALUE!</v>
      </c>
      <c r="EK14" t="e">
        <f>AND('Pay Bill'!L48,"AAAAADf5z4w=")</f>
        <v>#VALUE!</v>
      </c>
      <c r="EL14" t="e">
        <f>AND('Pay Bill'!M48,"AAAAADf5z40=")</f>
        <v>#VALUE!</v>
      </c>
      <c r="EM14" t="e">
        <f>AND('Pay Bill'!#REF!,"AAAAADf5z44=")</f>
        <v>#REF!</v>
      </c>
      <c r="EN14" t="e">
        <f>AND('Pay Bill'!#REF!,"AAAAADf5z48=")</f>
        <v>#REF!</v>
      </c>
      <c r="EO14" t="e">
        <f>AND('Pay Bill'!#REF!,"AAAAADf5z5A=")</f>
        <v>#REF!</v>
      </c>
      <c r="EP14" t="e">
        <f>AND('Pay Bill'!#REF!,"AAAAADf5z5E=")</f>
        <v>#REF!</v>
      </c>
      <c r="EQ14" t="e">
        <f>AND('Pay Bill'!N48,"AAAAADf5z5I=")</f>
        <v>#VALUE!</v>
      </c>
      <c r="ER14" t="e">
        <f>AND('Pay Bill'!A49,"AAAAADf5z5M=")</f>
        <v>#VALUE!</v>
      </c>
      <c r="ES14" t="e">
        <f>AND('Pay Bill'!B49,"AAAAADf5z5Q=")</f>
        <v>#VALUE!</v>
      </c>
      <c r="ET14" t="e">
        <f>AND('Pay Bill'!C49,"AAAAADf5z5U=")</f>
        <v>#VALUE!</v>
      </c>
      <c r="EU14" t="e">
        <f>AND('Pay Bill'!D49,"AAAAADf5z5Y=")</f>
        <v>#VALUE!</v>
      </c>
      <c r="EV14" t="e">
        <f>AND('Pay Bill'!E49,"AAAAADf5z5c=")</f>
        <v>#VALUE!</v>
      </c>
      <c r="EW14" t="e">
        <f>AND('Pay Bill'!F49,"AAAAADf5z5g=")</f>
        <v>#VALUE!</v>
      </c>
      <c r="EX14" t="e">
        <f>AND('Pay Bill'!#REF!,"AAAAADf5z5k=")</f>
        <v>#REF!</v>
      </c>
      <c r="EY14" t="e">
        <f>AND('Pay Bill'!H49,"AAAAADf5z5o=")</f>
        <v>#VALUE!</v>
      </c>
      <c r="EZ14" t="e">
        <f>AND('Pay Bill'!I49,"AAAAADf5z5s=")</f>
        <v>#VALUE!</v>
      </c>
      <c r="FA14" t="e">
        <f>AND('Pay Bill'!J49,"AAAAADf5z5w=")</f>
        <v>#VALUE!</v>
      </c>
      <c r="FB14" t="e">
        <f>AND('Pay Bill'!#REF!,"AAAAADf5z50=")</f>
        <v>#REF!</v>
      </c>
      <c r="FC14" t="e">
        <f>AND('Pay Bill'!#REF!,"AAAAADf5z54=")</f>
        <v>#REF!</v>
      </c>
      <c r="FD14" t="e">
        <f>AND('Pay Bill'!#REF!,"AAAAADf5z58=")</f>
        <v>#REF!</v>
      </c>
      <c r="FE14" t="e">
        <f>AND('Pay Bill'!K49,"AAAAADf5z6A=")</f>
        <v>#VALUE!</v>
      </c>
      <c r="FF14" t="e">
        <f>AND('Pay Bill'!L49,"AAAAADf5z6E=")</f>
        <v>#VALUE!</v>
      </c>
      <c r="FG14" t="e">
        <f>AND('Pay Bill'!M49,"AAAAADf5z6I=")</f>
        <v>#VALUE!</v>
      </c>
      <c r="FH14" t="e">
        <f>AND('Pay Bill'!#REF!,"AAAAADf5z6M=")</f>
        <v>#REF!</v>
      </c>
      <c r="FI14" t="e">
        <f>AND('Pay Bill'!#REF!,"AAAAADf5z6Q=")</f>
        <v>#REF!</v>
      </c>
      <c r="FJ14" t="e">
        <f>AND('Pay Bill'!#REF!,"AAAAADf5z6U=")</f>
        <v>#REF!</v>
      </c>
      <c r="FK14" t="e">
        <f>AND('Pay Bill'!#REF!,"AAAAADf5z6Y=")</f>
        <v>#REF!</v>
      </c>
      <c r="FL14" t="e">
        <f>AND('Pay Bill'!N49,"AAAAADf5z6c=")</f>
        <v>#VALUE!</v>
      </c>
      <c r="FM14" t="e">
        <f>AND('Pay Bill'!A50,"AAAAADf5z6g=")</f>
        <v>#VALUE!</v>
      </c>
      <c r="FN14" t="e">
        <f>AND('Pay Bill'!B50,"AAAAADf5z6k=")</f>
        <v>#VALUE!</v>
      </c>
      <c r="FO14" t="e">
        <f>AND('Pay Bill'!C50,"AAAAADf5z6o=")</f>
        <v>#VALUE!</v>
      </c>
      <c r="FP14" t="e">
        <f>AND('Pay Bill'!D50,"AAAAADf5z6s=")</f>
        <v>#VALUE!</v>
      </c>
      <c r="FQ14" t="e">
        <f>AND('Pay Bill'!E50,"AAAAADf5z6w=")</f>
        <v>#VALUE!</v>
      </c>
      <c r="FR14" t="e">
        <f>AND('Pay Bill'!F50,"AAAAADf5z60=")</f>
        <v>#VALUE!</v>
      </c>
      <c r="FS14" t="e">
        <f>AND('Pay Bill'!#REF!,"AAAAADf5z64=")</f>
        <v>#REF!</v>
      </c>
      <c r="FT14" t="e">
        <f>AND('Pay Bill'!H50,"AAAAADf5z68=")</f>
        <v>#VALUE!</v>
      </c>
      <c r="FU14" t="e">
        <f>AND('Pay Bill'!I50,"AAAAADf5z7A=")</f>
        <v>#VALUE!</v>
      </c>
      <c r="FV14" t="e">
        <f>AND('Pay Bill'!J50,"AAAAADf5z7E=")</f>
        <v>#VALUE!</v>
      </c>
      <c r="FW14" t="e">
        <f>AND('Pay Bill'!#REF!,"AAAAADf5z7I=")</f>
        <v>#REF!</v>
      </c>
      <c r="FX14" t="e">
        <f>AND('Pay Bill'!#REF!,"AAAAADf5z7M=")</f>
        <v>#REF!</v>
      </c>
      <c r="FY14" t="e">
        <f>AND('Pay Bill'!#REF!,"AAAAADf5z7Q=")</f>
        <v>#REF!</v>
      </c>
      <c r="FZ14" t="e">
        <f>AND('Pay Bill'!K50,"AAAAADf5z7U=")</f>
        <v>#VALUE!</v>
      </c>
      <c r="GA14" t="e">
        <f>AND('Pay Bill'!L50,"AAAAADf5z7Y=")</f>
        <v>#VALUE!</v>
      </c>
      <c r="GB14" t="e">
        <f>AND('Pay Bill'!M50,"AAAAADf5z7c=")</f>
        <v>#VALUE!</v>
      </c>
      <c r="GC14" t="e">
        <f>AND('Pay Bill'!#REF!,"AAAAADf5z7g=")</f>
        <v>#REF!</v>
      </c>
      <c r="GD14" t="e">
        <f>AND('Pay Bill'!#REF!,"AAAAADf5z7k=")</f>
        <v>#REF!</v>
      </c>
      <c r="GE14" t="e">
        <f>AND('Pay Bill'!#REF!,"AAAAADf5z7o=")</f>
        <v>#REF!</v>
      </c>
      <c r="GF14" t="e">
        <f>AND('Pay Bill'!#REF!,"AAAAADf5z7s=")</f>
        <v>#REF!</v>
      </c>
      <c r="GG14" t="e">
        <f>AND('Pay Bill'!N50,"AAAAADf5z7w=")</f>
        <v>#VALUE!</v>
      </c>
      <c r="GH14" t="e">
        <f>AND('Pay Bill'!A51,"AAAAADf5z70=")</f>
        <v>#VALUE!</v>
      </c>
      <c r="GI14" t="e">
        <f>AND('Pay Bill'!B51,"AAAAADf5z74=")</f>
        <v>#VALUE!</v>
      </c>
      <c r="GJ14" t="e">
        <f>AND('Pay Bill'!C51,"AAAAADf5z78=")</f>
        <v>#VALUE!</v>
      </c>
      <c r="GK14" t="e">
        <f>AND('Pay Bill'!D51,"AAAAADf5z8A=")</f>
        <v>#VALUE!</v>
      </c>
      <c r="GL14" t="e">
        <f>AND('Pay Bill'!E51,"AAAAADf5z8E=")</f>
        <v>#VALUE!</v>
      </c>
      <c r="GM14" t="e">
        <f>AND('Pay Bill'!F51,"AAAAADf5z8I=")</f>
        <v>#VALUE!</v>
      </c>
      <c r="GN14" t="e">
        <f>AND('Pay Bill'!#REF!,"AAAAADf5z8M=")</f>
        <v>#REF!</v>
      </c>
      <c r="GO14" t="e">
        <f>AND('Pay Bill'!H51,"AAAAADf5z8Q=")</f>
        <v>#VALUE!</v>
      </c>
      <c r="GP14" t="e">
        <f>AND('Pay Bill'!I51,"AAAAADf5z8U=")</f>
        <v>#VALUE!</v>
      </c>
      <c r="GQ14" t="e">
        <f>AND('Pay Bill'!J51,"AAAAADf5z8Y=")</f>
        <v>#VALUE!</v>
      </c>
      <c r="GR14" t="e">
        <f>AND('Pay Bill'!#REF!,"AAAAADf5z8c=")</f>
        <v>#REF!</v>
      </c>
      <c r="GS14" t="e">
        <f>AND('Pay Bill'!#REF!,"AAAAADf5z8g=")</f>
        <v>#REF!</v>
      </c>
      <c r="GT14" t="e">
        <f>AND('Pay Bill'!#REF!,"AAAAADf5z8k=")</f>
        <v>#REF!</v>
      </c>
      <c r="GU14" t="e">
        <f>AND('Pay Bill'!K51,"AAAAADf5z8o=")</f>
        <v>#VALUE!</v>
      </c>
      <c r="GV14" t="e">
        <f>AND('Pay Bill'!L51,"AAAAADf5z8s=")</f>
        <v>#VALUE!</v>
      </c>
      <c r="GW14" t="e">
        <f>AND('Pay Bill'!M51,"AAAAADf5z8w=")</f>
        <v>#VALUE!</v>
      </c>
      <c r="GX14" t="e">
        <f>AND('Pay Bill'!#REF!,"AAAAADf5z80=")</f>
        <v>#REF!</v>
      </c>
      <c r="GY14" t="e">
        <f>AND('Pay Bill'!#REF!,"AAAAADf5z84=")</f>
        <v>#REF!</v>
      </c>
      <c r="GZ14" t="e">
        <f>AND('Pay Bill'!#REF!,"AAAAADf5z88=")</f>
        <v>#REF!</v>
      </c>
      <c r="HA14" t="e">
        <f>AND('Pay Bill'!#REF!,"AAAAADf5z9A=")</f>
        <v>#REF!</v>
      </c>
      <c r="HB14" t="e">
        <f>AND('Pay Bill'!N51,"AAAAADf5z9E=")</f>
        <v>#VALUE!</v>
      </c>
      <c r="HC14" t="e">
        <f>AND('Pay Bill'!A52,"AAAAADf5z9I=")</f>
        <v>#VALUE!</v>
      </c>
      <c r="HD14" t="e">
        <f>AND('Pay Bill'!B52,"AAAAADf5z9M=")</f>
        <v>#VALUE!</v>
      </c>
      <c r="HE14" t="e">
        <f>AND('Pay Bill'!C52,"AAAAADf5z9Q=")</f>
        <v>#VALUE!</v>
      </c>
      <c r="HF14" t="e">
        <f>AND('Pay Bill'!D52,"AAAAADf5z9U=")</f>
        <v>#VALUE!</v>
      </c>
      <c r="HG14" t="e">
        <f>AND('Pay Bill'!E52,"AAAAADf5z9Y=")</f>
        <v>#VALUE!</v>
      </c>
      <c r="HH14" t="e">
        <f>AND('Pay Bill'!F52,"AAAAADf5z9c=")</f>
        <v>#VALUE!</v>
      </c>
      <c r="HI14" t="e">
        <f>AND('Pay Bill'!#REF!,"AAAAADf5z9g=")</f>
        <v>#REF!</v>
      </c>
      <c r="HJ14" t="e">
        <f>AND('Pay Bill'!H52,"AAAAADf5z9k=")</f>
        <v>#VALUE!</v>
      </c>
      <c r="HK14" t="e">
        <f>AND('Pay Bill'!I52,"AAAAADf5z9o=")</f>
        <v>#VALUE!</v>
      </c>
      <c r="HL14" t="e">
        <f>AND('Pay Bill'!J52,"AAAAADf5z9s=")</f>
        <v>#VALUE!</v>
      </c>
      <c r="HM14" t="e">
        <f>AND('Pay Bill'!#REF!,"AAAAADf5z9w=")</f>
        <v>#REF!</v>
      </c>
      <c r="HN14" t="e">
        <f>AND('Pay Bill'!#REF!,"AAAAADf5z90=")</f>
        <v>#REF!</v>
      </c>
      <c r="HO14" t="e">
        <f>AND('Pay Bill'!#REF!,"AAAAADf5z94=")</f>
        <v>#REF!</v>
      </c>
      <c r="HP14" t="e">
        <f>AND('Pay Bill'!K52,"AAAAADf5z98=")</f>
        <v>#VALUE!</v>
      </c>
      <c r="HQ14" t="e">
        <f>AND('Pay Bill'!L52,"AAAAADf5z+A=")</f>
        <v>#VALUE!</v>
      </c>
      <c r="HR14" t="e">
        <f>AND('Pay Bill'!M52,"AAAAADf5z+E=")</f>
        <v>#VALUE!</v>
      </c>
      <c r="HS14" t="e">
        <f>AND('Pay Bill'!#REF!,"AAAAADf5z+I=")</f>
        <v>#REF!</v>
      </c>
      <c r="HT14" t="e">
        <f>AND('Pay Bill'!#REF!,"AAAAADf5z+M=")</f>
        <v>#REF!</v>
      </c>
      <c r="HU14" t="e">
        <f>AND('Pay Bill'!#REF!,"AAAAADf5z+Q=")</f>
        <v>#REF!</v>
      </c>
      <c r="HV14" t="e">
        <f>AND('Pay Bill'!#REF!,"AAAAADf5z+U=")</f>
        <v>#REF!</v>
      </c>
      <c r="HW14" t="e">
        <f>AND('Pay Bill'!N52,"AAAAADf5z+Y=")</f>
        <v>#VALUE!</v>
      </c>
      <c r="HX14" t="e">
        <f>AND('Pay Bill'!A53,"AAAAADf5z+c=")</f>
        <v>#VALUE!</v>
      </c>
      <c r="HY14" t="e">
        <f>AND('Pay Bill'!B53,"AAAAADf5z+g=")</f>
        <v>#VALUE!</v>
      </c>
      <c r="HZ14" t="e">
        <f>AND('Pay Bill'!C53,"AAAAADf5z+k=")</f>
        <v>#VALUE!</v>
      </c>
      <c r="IA14" t="e">
        <f>AND('Pay Bill'!D53,"AAAAADf5z+o=")</f>
        <v>#VALUE!</v>
      </c>
      <c r="IB14" t="e">
        <f>AND('Pay Bill'!E53,"AAAAADf5z+s=")</f>
        <v>#VALUE!</v>
      </c>
      <c r="IC14" t="e">
        <f>AND('Pay Bill'!F53,"AAAAADf5z+w=")</f>
        <v>#VALUE!</v>
      </c>
      <c r="ID14" t="e">
        <f>AND('Pay Bill'!#REF!,"AAAAADf5z+0=")</f>
        <v>#REF!</v>
      </c>
      <c r="IE14" t="e">
        <f>AND('Pay Bill'!H53,"AAAAADf5z+4=")</f>
        <v>#VALUE!</v>
      </c>
      <c r="IF14" t="e">
        <f>AND('Pay Bill'!I53,"AAAAADf5z+8=")</f>
        <v>#VALUE!</v>
      </c>
      <c r="IG14" t="e">
        <f>AND('Pay Bill'!J53,"AAAAADf5z/A=")</f>
        <v>#VALUE!</v>
      </c>
      <c r="IH14" t="e">
        <f>AND('Pay Bill'!#REF!,"AAAAADf5z/E=")</f>
        <v>#REF!</v>
      </c>
      <c r="II14" t="e">
        <f>AND('Pay Bill'!#REF!,"AAAAADf5z/I=")</f>
        <v>#REF!</v>
      </c>
      <c r="IJ14" t="e">
        <f>AND('Pay Bill'!#REF!,"AAAAADf5z/M=")</f>
        <v>#REF!</v>
      </c>
      <c r="IK14" t="e">
        <f>AND('Pay Bill'!K53,"AAAAADf5z/Q=")</f>
        <v>#VALUE!</v>
      </c>
      <c r="IL14" t="e">
        <f>AND('Pay Bill'!L53,"AAAAADf5z/U=")</f>
        <v>#VALUE!</v>
      </c>
      <c r="IM14" t="e">
        <f>AND('Pay Bill'!M53,"AAAAADf5z/Y=")</f>
        <v>#VALUE!</v>
      </c>
      <c r="IN14" t="e">
        <f>AND('Pay Bill'!#REF!,"AAAAADf5z/c=")</f>
        <v>#REF!</v>
      </c>
      <c r="IO14" t="e">
        <f>AND('Pay Bill'!#REF!,"AAAAADf5z/g=")</f>
        <v>#REF!</v>
      </c>
      <c r="IP14" t="e">
        <f>AND('Pay Bill'!#REF!,"AAAAADf5z/k=")</f>
        <v>#REF!</v>
      </c>
      <c r="IQ14" t="e">
        <f>AND('Pay Bill'!#REF!,"AAAAADf5z/o=")</f>
        <v>#REF!</v>
      </c>
      <c r="IR14" t="e">
        <f>AND('Pay Bill'!N53,"AAAAADf5z/s=")</f>
        <v>#VALUE!</v>
      </c>
      <c r="IS14" t="e">
        <f>AND('Pay Bill'!A54,"AAAAADf5z/w=")</f>
        <v>#VALUE!</v>
      </c>
      <c r="IT14" t="e">
        <f>AND('Pay Bill'!B54,"AAAAADf5z/0=")</f>
        <v>#VALUE!</v>
      </c>
      <c r="IU14" t="e">
        <f>AND('Pay Bill'!C54,"AAAAADf5z/4=")</f>
        <v>#VALUE!</v>
      </c>
      <c r="IV14" t="e">
        <f>AND('Pay Bill'!D54,"AAAAADf5z/8=")</f>
        <v>#VALUE!</v>
      </c>
    </row>
    <row r="15" spans="1:256" x14ac:dyDescent="0.25">
      <c r="A15" t="e">
        <f>AND('Pay Bill'!E54,"AAAAACz//wA=")</f>
        <v>#VALUE!</v>
      </c>
      <c r="B15" t="e">
        <f>AND('Pay Bill'!F54,"AAAAACz//wE=")</f>
        <v>#VALUE!</v>
      </c>
      <c r="C15" t="e">
        <f>AND('Pay Bill'!#REF!,"AAAAACz//wI=")</f>
        <v>#REF!</v>
      </c>
      <c r="D15" t="e">
        <f>AND('Pay Bill'!H54,"AAAAACz//wM=")</f>
        <v>#VALUE!</v>
      </c>
      <c r="E15" t="e">
        <f>AND('Pay Bill'!I54,"AAAAACz//wQ=")</f>
        <v>#VALUE!</v>
      </c>
      <c r="F15" t="e">
        <f>AND('Pay Bill'!J54,"AAAAACz//wU=")</f>
        <v>#VALUE!</v>
      </c>
      <c r="G15" t="e">
        <f>AND('Pay Bill'!#REF!,"AAAAACz//wY=")</f>
        <v>#REF!</v>
      </c>
      <c r="H15" t="e">
        <f>AND('Pay Bill'!#REF!,"AAAAACz//wc=")</f>
        <v>#REF!</v>
      </c>
      <c r="I15" t="e">
        <f>AND('Pay Bill'!#REF!,"AAAAACz//wg=")</f>
        <v>#REF!</v>
      </c>
      <c r="J15" t="e">
        <f>AND('Pay Bill'!K54,"AAAAACz//wk=")</f>
        <v>#VALUE!</v>
      </c>
      <c r="K15" t="e">
        <f>AND('Pay Bill'!L54,"AAAAACz//wo=")</f>
        <v>#VALUE!</v>
      </c>
      <c r="L15" t="e">
        <f>AND('Pay Bill'!M54,"AAAAACz//ws=")</f>
        <v>#VALUE!</v>
      </c>
      <c r="M15" t="e">
        <f>AND('Pay Bill'!#REF!,"AAAAACz//ww=")</f>
        <v>#REF!</v>
      </c>
      <c r="N15" t="e">
        <f>AND('Pay Bill'!#REF!,"AAAAACz//w0=")</f>
        <v>#REF!</v>
      </c>
      <c r="O15" t="e">
        <f>AND('Pay Bill'!#REF!,"AAAAACz//w4=")</f>
        <v>#REF!</v>
      </c>
      <c r="P15" t="e">
        <f>AND('Pay Bill'!#REF!,"AAAAACz//w8=")</f>
        <v>#REF!</v>
      </c>
      <c r="Q15" t="e">
        <f>AND('Pay Bill'!N54,"AAAAACz//xA=")</f>
        <v>#VALUE!</v>
      </c>
      <c r="R15" t="e">
        <f>AND('Pay Bill'!A55,"AAAAACz//xE=")</f>
        <v>#VALUE!</v>
      </c>
      <c r="S15" t="e">
        <f>AND('Pay Bill'!B55,"AAAAACz//xI=")</f>
        <v>#VALUE!</v>
      </c>
      <c r="T15" t="e">
        <f>AND('Pay Bill'!C55,"AAAAACz//xM=")</f>
        <v>#VALUE!</v>
      </c>
      <c r="U15" t="e">
        <f>AND('Pay Bill'!D55,"AAAAACz//xQ=")</f>
        <v>#VALUE!</v>
      </c>
      <c r="V15" t="e">
        <f>AND('Pay Bill'!E55,"AAAAACz//xU=")</f>
        <v>#VALUE!</v>
      </c>
      <c r="W15" t="e">
        <f>AND('Pay Bill'!F55,"AAAAACz//xY=")</f>
        <v>#VALUE!</v>
      </c>
      <c r="X15" t="e">
        <f>AND('Pay Bill'!G55,"AAAAACz//xc=")</f>
        <v>#VALUE!</v>
      </c>
      <c r="Y15" t="e">
        <f>AND('Pay Bill'!H55,"AAAAACz//xg=")</f>
        <v>#VALUE!</v>
      </c>
      <c r="Z15" t="e">
        <f>AND('Pay Bill'!I55,"AAAAACz//xk=")</f>
        <v>#VALUE!</v>
      </c>
      <c r="AA15" t="e">
        <f>AND('Pay Bill'!J55,"AAAAACz//xo=")</f>
        <v>#VALUE!</v>
      </c>
      <c r="AB15" t="e">
        <f>AND('Pay Bill'!#REF!,"AAAAACz//xs=")</f>
        <v>#REF!</v>
      </c>
      <c r="AC15" t="e">
        <f>AND('Pay Bill'!#REF!,"AAAAACz//xw=")</f>
        <v>#REF!</v>
      </c>
      <c r="AD15" t="e">
        <f>AND('Pay Bill'!#REF!,"AAAAACz//x0=")</f>
        <v>#REF!</v>
      </c>
      <c r="AE15" t="e">
        <f>AND('Pay Bill'!K55,"AAAAACz//x4=")</f>
        <v>#VALUE!</v>
      </c>
      <c r="AF15" t="e">
        <f>AND('Pay Bill'!L55,"AAAAACz//x8=")</f>
        <v>#VALUE!</v>
      </c>
      <c r="AG15" t="e">
        <f>AND('Pay Bill'!M55,"AAAAACz//yA=")</f>
        <v>#VALUE!</v>
      </c>
      <c r="AH15" t="e">
        <f>AND('Pay Bill'!#REF!,"AAAAACz//yE=")</f>
        <v>#REF!</v>
      </c>
      <c r="AI15" t="e">
        <f>AND('Pay Bill'!#REF!,"AAAAACz//yI=")</f>
        <v>#REF!</v>
      </c>
      <c r="AJ15" t="e">
        <f>AND('Pay Bill'!#REF!,"AAAAACz//yM=")</f>
        <v>#REF!</v>
      </c>
      <c r="AK15" t="e">
        <f>AND('Pay Bill'!#REF!,"AAAAACz//yQ=")</f>
        <v>#REF!</v>
      </c>
      <c r="AL15" t="e">
        <f>AND('Pay Bill'!N55,"AAAAACz//yU=")</f>
        <v>#VALUE!</v>
      </c>
      <c r="AM15" t="e">
        <f>AND('Pay Bill'!A56,"AAAAACz//yY=")</f>
        <v>#VALUE!</v>
      </c>
      <c r="AN15" t="e">
        <f>AND('Pay Bill'!B56,"AAAAACz//yc=")</f>
        <v>#VALUE!</v>
      </c>
      <c r="AO15" t="e">
        <f>AND('Pay Bill'!C56,"AAAAACz//yg=")</f>
        <v>#VALUE!</v>
      </c>
      <c r="AP15" t="e">
        <f>AND('Pay Bill'!D56,"AAAAACz//yk=")</f>
        <v>#VALUE!</v>
      </c>
      <c r="AQ15" t="e">
        <f>AND('Pay Bill'!E56,"AAAAACz//yo=")</f>
        <v>#VALUE!</v>
      </c>
      <c r="AR15" t="e">
        <f>AND('Pay Bill'!F56,"AAAAACz//ys=")</f>
        <v>#VALUE!</v>
      </c>
      <c r="AS15" t="e">
        <f>AND('Pay Bill'!G56,"AAAAACz//yw=")</f>
        <v>#VALUE!</v>
      </c>
      <c r="AT15" t="e">
        <f>AND('Pay Bill'!H56,"AAAAACz//y0=")</f>
        <v>#VALUE!</v>
      </c>
      <c r="AU15" t="e">
        <f>AND('Pay Bill'!I56,"AAAAACz//y4=")</f>
        <v>#VALUE!</v>
      </c>
      <c r="AV15" t="e">
        <f>AND('Pay Bill'!J56,"AAAAACz//y8=")</f>
        <v>#VALUE!</v>
      </c>
      <c r="AW15" t="e">
        <f>AND('Pay Bill'!#REF!,"AAAAACz//zA=")</f>
        <v>#REF!</v>
      </c>
      <c r="AX15" t="e">
        <f>AND('Pay Bill'!#REF!,"AAAAACz//zE=")</f>
        <v>#REF!</v>
      </c>
      <c r="AY15" t="e">
        <f>AND('Pay Bill'!#REF!,"AAAAACz//zI=")</f>
        <v>#REF!</v>
      </c>
      <c r="AZ15" t="e">
        <f>AND('Pay Bill'!K56,"AAAAACz//zM=")</f>
        <v>#VALUE!</v>
      </c>
      <c r="BA15" t="e">
        <f>AND('Pay Bill'!L56,"AAAAACz//zQ=")</f>
        <v>#VALUE!</v>
      </c>
      <c r="BB15" t="e">
        <f>AND('Pay Bill'!M56,"AAAAACz//zU=")</f>
        <v>#VALUE!</v>
      </c>
      <c r="BC15" t="e">
        <f>AND('Pay Bill'!#REF!,"AAAAACz//zY=")</f>
        <v>#REF!</v>
      </c>
      <c r="BD15" t="e">
        <f>AND('Pay Bill'!#REF!,"AAAAACz//zc=")</f>
        <v>#REF!</v>
      </c>
      <c r="BE15" t="e">
        <f>AND('Pay Bill'!#REF!,"AAAAACz//zg=")</f>
        <v>#REF!</v>
      </c>
      <c r="BF15" t="e">
        <f>AND('Pay Bill'!#REF!,"AAAAACz//zk=")</f>
        <v>#REF!</v>
      </c>
      <c r="BG15" t="e">
        <f>AND('Pay Bill'!N56,"AAAAACz//zo=")</f>
        <v>#VALUE!</v>
      </c>
      <c r="BH15" t="e">
        <f>AND('Pay Bill'!A57,"AAAAACz//zs=")</f>
        <v>#VALUE!</v>
      </c>
      <c r="BI15" t="e">
        <f>AND('Pay Bill'!B57,"AAAAACz//zw=")</f>
        <v>#VALUE!</v>
      </c>
      <c r="BJ15" t="e">
        <f>AND('Pay Bill'!C57,"AAAAACz//z0=")</f>
        <v>#VALUE!</v>
      </c>
      <c r="BK15" t="e">
        <f>AND('Pay Bill'!D57,"AAAAACz//z4=")</f>
        <v>#VALUE!</v>
      </c>
      <c r="BL15" t="e">
        <f>AND('Pay Bill'!E57,"AAAAACz//z8=")</f>
        <v>#VALUE!</v>
      </c>
      <c r="BM15" t="e">
        <f>AND('Pay Bill'!F57,"AAAAACz//0A=")</f>
        <v>#VALUE!</v>
      </c>
      <c r="BN15" t="e">
        <f>AND('Pay Bill'!G57,"AAAAACz//0E=")</f>
        <v>#VALUE!</v>
      </c>
      <c r="BO15" t="e">
        <f>AND('Pay Bill'!H57,"AAAAACz//0I=")</f>
        <v>#VALUE!</v>
      </c>
      <c r="BP15" t="e">
        <f>AND('Pay Bill'!I57,"AAAAACz//0M=")</f>
        <v>#VALUE!</v>
      </c>
      <c r="BQ15" t="e">
        <f>AND('Pay Bill'!J57,"AAAAACz//0Q=")</f>
        <v>#VALUE!</v>
      </c>
      <c r="BR15" t="e">
        <f>AND('Pay Bill'!#REF!,"AAAAACz//0U=")</f>
        <v>#REF!</v>
      </c>
      <c r="BS15" t="e">
        <f>AND('Pay Bill'!#REF!,"AAAAACz//0Y=")</f>
        <v>#REF!</v>
      </c>
      <c r="BT15" t="e">
        <f>AND('Pay Bill'!#REF!,"AAAAACz//0c=")</f>
        <v>#REF!</v>
      </c>
      <c r="BU15" t="e">
        <f>AND('Pay Bill'!K57,"AAAAACz//0g=")</f>
        <v>#VALUE!</v>
      </c>
      <c r="BV15" t="e">
        <f>AND('Pay Bill'!L57,"AAAAACz//0k=")</f>
        <v>#VALUE!</v>
      </c>
      <c r="BW15" t="e">
        <f>AND('Pay Bill'!M57,"AAAAACz//0o=")</f>
        <v>#VALUE!</v>
      </c>
      <c r="BX15" t="e">
        <f>AND('Pay Bill'!#REF!,"AAAAACz//0s=")</f>
        <v>#REF!</v>
      </c>
      <c r="BY15" t="e">
        <f>AND('Pay Bill'!#REF!,"AAAAACz//0w=")</f>
        <v>#REF!</v>
      </c>
      <c r="BZ15" t="e">
        <f>AND('Pay Bill'!#REF!,"AAAAACz//00=")</f>
        <v>#REF!</v>
      </c>
      <c r="CA15" t="e">
        <f>AND('Pay Bill'!#REF!,"AAAAACz//04=")</f>
        <v>#REF!</v>
      </c>
      <c r="CB15" t="e">
        <f>AND('Pay Bill'!N57,"AAAAACz//08=")</f>
        <v>#VALUE!</v>
      </c>
      <c r="CC15" t="e">
        <f>AND('Pay Bill'!A58,"AAAAACz//1A=")</f>
        <v>#VALUE!</v>
      </c>
      <c r="CD15" t="e">
        <f>AND('Pay Bill'!B58,"AAAAACz//1E=")</f>
        <v>#VALUE!</v>
      </c>
      <c r="CE15" t="e">
        <f>AND('Pay Bill'!C58,"AAAAACz//1I=")</f>
        <v>#VALUE!</v>
      </c>
      <c r="CF15" t="e">
        <f>AND('Pay Bill'!D58,"AAAAACz//1M=")</f>
        <v>#VALUE!</v>
      </c>
      <c r="CG15" t="e">
        <f>AND('Pay Bill'!E58,"AAAAACz//1Q=")</f>
        <v>#VALUE!</v>
      </c>
      <c r="CH15" t="e">
        <f>AND('Pay Bill'!F58,"AAAAACz//1U=")</f>
        <v>#VALUE!</v>
      </c>
      <c r="CI15" t="e">
        <f>AND('Pay Bill'!G58,"AAAAACz//1Y=")</f>
        <v>#VALUE!</v>
      </c>
      <c r="CJ15" t="e">
        <f>AND('Pay Bill'!H58,"AAAAACz//1c=")</f>
        <v>#VALUE!</v>
      </c>
      <c r="CK15" t="e">
        <f>AND('Pay Bill'!I58,"AAAAACz//1g=")</f>
        <v>#VALUE!</v>
      </c>
      <c r="CL15" t="e">
        <f>AND('Pay Bill'!J58,"AAAAACz//1k=")</f>
        <v>#VALUE!</v>
      </c>
      <c r="CM15" t="e">
        <f>AND('Pay Bill'!#REF!,"AAAAACz//1o=")</f>
        <v>#REF!</v>
      </c>
      <c r="CN15" t="e">
        <f>AND('Pay Bill'!#REF!,"AAAAACz//1s=")</f>
        <v>#REF!</v>
      </c>
      <c r="CO15" t="e">
        <f>AND('Pay Bill'!#REF!,"AAAAACz//1w=")</f>
        <v>#REF!</v>
      </c>
      <c r="CP15" t="e">
        <f>AND('Pay Bill'!K58,"AAAAACz//10=")</f>
        <v>#VALUE!</v>
      </c>
      <c r="CQ15" t="e">
        <f>AND('Pay Bill'!L58,"AAAAACz//14=")</f>
        <v>#VALUE!</v>
      </c>
      <c r="CR15" t="e">
        <f>AND('Pay Bill'!M58,"AAAAACz//18=")</f>
        <v>#VALUE!</v>
      </c>
      <c r="CS15" t="e">
        <f>AND('Pay Bill'!#REF!,"AAAAACz//2A=")</f>
        <v>#REF!</v>
      </c>
      <c r="CT15" t="e">
        <f>AND('Pay Bill'!#REF!,"AAAAACz//2E=")</f>
        <v>#REF!</v>
      </c>
      <c r="CU15" t="e">
        <f>AND('Pay Bill'!#REF!,"AAAAACz//2I=")</f>
        <v>#REF!</v>
      </c>
      <c r="CV15" t="e">
        <f>AND('Pay Bill'!#REF!,"AAAAACz//2M=")</f>
        <v>#REF!</v>
      </c>
      <c r="CW15" t="e">
        <f>AND('Pay Bill'!N58,"AAAAACz//2Q=")</f>
        <v>#VALUE!</v>
      </c>
      <c r="CX15" t="e">
        <f>AND('Pay Bill'!A59,"AAAAACz//2U=")</f>
        <v>#VALUE!</v>
      </c>
      <c r="CY15" t="e">
        <f>AND('Pay Bill'!B59,"AAAAACz//2Y=")</f>
        <v>#VALUE!</v>
      </c>
      <c r="CZ15" t="e">
        <f>AND('Pay Bill'!C59,"AAAAACz//2c=")</f>
        <v>#VALUE!</v>
      </c>
      <c r="DA15" t="e">
        <f>AND('Pay Bill'!D59,"AAAAACz//2g=")</f>
        <v>#VALUE!</v>
      </c>
      <c r="DB15" t="e">
        <f>AND('Pay Bill'!E59,"AAAAACz//2k=")</f>
        <v>#VALUE!</v>
      </c>
      <c r="DC15" t="e">
        <f>AND('Pay Bill'!F59,"AAAAACz//2o=")</f>
        <v>#VALUE!</v>
      </c>
      <c r="DD15" t="e">
        <f>AND('Pay Bill'!G59,"AAAAACz//2s=")</f>
        <v>#VALUE!</v>
      </c>
      <c r="DE15" t="e">
        <f>AND('Pay Bill'!H59,"AAAAACz//2w=")</f>
        <v>#VALUE!</v>
      </c>
      <c r="DF15" t="e">
        <f>AND('Pay Bill'!I59,"AAAAACz//20=")</f>
        <v>#VALUE!</v>
      </c>
      <c r="DG15" t="e">
        <f>AND('Pay Bill'!J59,"AAAAACz//24=")</f>
        <v>#VALUE!</v>
      </c>
      <c r="DH15" t="e">
        <f>AND('Pay Bill'!#REF!,"AAAAACz//28=")</f>
        <v>#REF!</v>
      </c>
      <c r="DI15" t="e">
        <f>AND('Pay Bill'!#REF!,"AAAAACz//3A=")</f>
        <v>#REF!</v>
      </c>
      <c r="DJ15" t="e">
        <f>AND('Pay Bill'!#REF!,"AAAAACz//3E=")</f>
        <v>#REF!</v>
      </c>
      <c r="DK15" t="e">
        <f>AND('Pay Bill'!K59,"AAAAACz//3I=")</f>
        <v>#VALUE!</v>
      </c>
      <c r="DL15" t="e">
        <f>AND('Pay Bill'!L59,"AAAAACz//3M=")</f>
        <v>#VALUE!</v>
      </c>
      <c r="DM15" t="e">
        <f>AND('Pay Bill'!M59,"AAAAACz//3Q=")</f>
        <v>#VALUE!</v>
      </c>
      <c r="DN15" t="e">
        <f>AND('Pay Bill'!#REF!,"AAAAACz//3U=")</f>
        <v>#REF!</v>
      </c>
      <c r="DO15" t="e">
        <f>AND('Pay Bill'!#REF!,"AAAAACz//3Y=")</f>
        <v>#REF!</v>
      </c>
      <c r="DP15" t="e">
        <f>AND('Pay Bill'!#REF!,"AAAAACz//3c=")</f>
        <v>#REF!</v>
      </c>
      <c r="DQ15" t="e">
        <f>AND('Pay Bill'!#REF!,"AAAAACz//3g=")</f>
        <v>#REF!</v>
      </c>
      <c r="DR15" t="e">
        <f>AND('Pay Bill'!N59,"AAAAACz//3k=")</f>
        <v>#VALUE!</v>
      </c>
      <c r="DS15" t="e">
        <f>AND('Pay Bill'!A60,"AAAAACz//3o=")</f>
        <v>#VALUE!</v>
      </c>
      <c r="DT15" t="e">
        <f>AND('Pay Bill'!B60,"AAAAACz//3s=")</f>
        <v>#VALUE!</v>
      </c>
      <c r="DU15" t="e">
        <f>AND('Pay Bill'!C60,"AAAAACz//3w=")</f>
        <v>#VALUE!</v>
      </c>
      <c r="DV15" t="e">
        <f>AND('Pay Bill'!D60,"AAAAACz//30=")</f>
        <v>#VALUE!</v>
      </c>
      <c r="DW15" t="e">
        <f>AND('Pay Bill'!E60,"AAAAACz//34=")</f>
        <v>#VALUE!</v>
      </c>
      <c r="DX15" t="e">
        <f>AND('Pay Bill'!F60,"AAAAACz//38=")</f>
        <v>#VALUE!</v>
      </c>
      <c r="DY15" t="e">
        <f>AND('Pay Bill'!G60,"AAAAACz//4A=")</f>
        <v>#VALUE!</v>
      </c>
      <c r="DZ15" t="e">
        <f>AND('Pay Bill'!H60,"AAAAACz//4E=")</f>
        <v>#VALUE!</v>
      </c>
      <c r="EA15" t="e">
        <f>AND('Pay Bill'!I60,"AAAAACz//4I=")</f>
        <v>#VALUE!</v>
      </c>
      <c r="EB15" t="e">
        <f>AND('Pay Bill'!J60,"AAAAACz//4M=")</f>
        <v>#VALUE!</v>
      </c>
      <c r="EC15" t="e">
        <f>AND('Pay Bill'!#REF!,"AAAAACz//4Q=")</f>
        <v>#REF!</v>
      </c>
      <c r="ED15" t="e">
        <f>AND('Pay Bill'!#REF!,"AAAAACz//4U=")</f>
        <v>#REF!</v>
      </c>
      <c r="EE15" t="e">
        <f>AND('Pay Bill'!#REF!,"AAAAACz//4Y=")</f>
        <v>#REF!</v>
      </c>
      <c r="EF15" t="e">
        <f>AND('Pay Bill'!K60,"AAAAACz//4c=")</f>
        <v>#VALUE!</v>
      </c>
      <c r="EG15" t="e">
        <f>AND('Pay Bill'!L60,"AAAAACz//4g=")</f>
        <v>#VALUE!</v>
      </c>
      <c r="EH15" t="e">
        <f>AND('Pay Bill'!M60,"AAAAACz//4k=")</f>
        <v>#VALUE!</v>
      </c>
      <c r="EI15" t="e">
        <f>AND('Pay Bill'!#REF!,"AAAAACz//4o=")</f>
        <v>#REF!</v>
      </c>
      <c r="EJ15" t="e">
        <f>AND('Pay Bill'!#REF!,"AAAAACz//4s=")</f>
        <v>#REF!</v>
      </c>
      <c r="EK15" t="e">
        <f>AND('Pay Bill'!#REF!,"AAAAACz//4w=")</f>
        <v>#REF!</v>
      </c>
      <c r="EL15" t="e">
        <f>AND('Pay Bill'!#REF!,"AAAAACz//40=")</f>
        <v>#REF!</v>
      </c>
      <c r="EM15" t="e">
        <f>AND('Pay Bill'!N60,"AAAAACz//44=")</f>
        <v>#VALUE!</v>
      </c>
      <c r="EN15" t="e">
        <f>AND('Pay Bill'!A61,"AAAAACz//48=")</f>
        <v>#VALUE!</v>
      </c>
      <c r="EO15" t="e">
        <f>AND('Pay Bill'!B61,"AAAAACz//5A=")</f>
        <v>#VALUE!</v>
      </c>
      <c r="EP15" t="e">
        <f>AND('Pay Bill'!C61,"AAAAACz//5E=")</f>
        <v>#VALUE!</v>
      </c>
      <c r="EQ15" t="e">
        <f>AND('Pay Bill'!D61,"AAAAACz//5I=")</f>
        <v>#VALUE!</v>
      </c>
      <c r="ER15" t="e">
        <f>AND('Pay Bill'!E61,"AAAAACz//5M=")</f>
        <v>#VALUE!</v>
      </c>
      <c r="ES15" t="e">
        <f>AND('Pay Bill'!F61,"AAAAACz//5Q=")</f>
        <v>#VALUE!</v>
      </c>
      <c r="ET15" t="e">
        <f>AND('Pay Bill'!G61,"AAAAACz//5U=")</f>
        <v>#VALUE!</v>
      </c>
      <c r="EU15" t="e">
        <f>AND('Pay Bill'!H61,"AAAAACz//5Y=")</f>
        <v>#VALUE!</v>
      </c>
      <c r="EV15" t="e">
        <f>AND('Pay Bill'!I61,"AAAAACz//5c=")</f>
        <v>#VALUE!</v>
      </c>
      <c r="EW15" t="e">
        <f>AND('Pay Bill'!J61,"AAAAACz//5g=")</f>
        <v>#VALUE!</v>
      </c>
      <c r="EX15" t="e">
        <f>AND('Pay Bill'!#REF!,"AAAAACz//5k=")</f>
        <v>#REF!</v>
      </c>
      <c r="EY15" t="e">
        <f>AND('Pay Bill'!#REF!,"AAAAACz//5o=")</f>
        <v>#REF!</v>
      </c>
      <c r="EZ15" t="e">
        <f>AND('Pay Bill'!#REF!,"AAAAACz//5s=")</f>
        <v>#REF!</v>
      </c>
      <c r="FA15" t="e">
        <f>AND('Pay Bill'!K61,"AAAAACz//5w=")</f>
        <v>#VALUE!</v>
      </c>
      <c r="FB15" t="e">
        <f>AND('Pay Bill'!L61,"AAAAACz//50=")</f>
        <v>#VALUE!</v>
      </c>
      <c r="FC15" t="e">
        <f>AND('Pay Bill'!M61,"AAAAACz//54=")</f>
        <v>#VALUE!</v>
      </c>
      <c r="FD15" t="e">
        <f>AND('Pay Bill'!#REF!,"AAAAACz//58=")</f>
        <v>#REF!</v>
      </c>
      <c r="FE15" t="e">
        <f>AND('Pay Bill'!#REF!,"AAAAACz//6A=")</f>
        <v>#REF!</v>
      </c>
      <c r="FF15" t="e">
        <f>AND('Pay Bill'!#REF!,"AAAAACz//6E=")</f>
        <v>#REF!</v>
      </c>
      <c r="FG15" t="e">
        <f>AND('Pay Bill'!#REF!,"AAAAACz//6I=")</f>
        <v>#REF!</v>
      </c>
      <c r="FH15" t="e">
        <f>AND('Pay Bill'!N61,"AAAAACz//6M=")</f>
        <v>#VALUE!</v>
      </c>
      <c r="FI15" t="e">
        <f>AND('Pay Bill'!A62,"AAAAACz//6Q=")</f>
        <v>#VALUE!</v>
      </c>
      <c r="FJ15" t="e">
        <f>AND('Pay Bill'!B62,"AAAAACz//6U=")</f>
        <v>#VALUE!</v>
      </c>
      <c r="FK15" t="e">
        <f>AND('Pay Bill'!C62,"AAAAACz//6Y=")</f>
        <v>#VALUE!</v>
      </c>
      <c r="FL15" t="e">
        <f>AND('Pay Bill'!D62,"AAAAACz//6c=")</f>
        <v>#VALUE!</v>
      </c>
      <c r="FM15" t="e">
        <f>AND('Pay Bill'!E62,"AAAAACz//6g=")</f>
        <v>#VALUE!</v>
      </c>
      <c r="FN15" t="e">
        <f>AND('Pay Bill'!F62,"AAAAACz//6k=")</f>
        <v>#VALUE!</v>
      </c>
      <c r="FO15" t="e">
        <f>AND('Pay Bill'!G62,"AAAAACz//6o=")</f>
        <v>#VALUE!</v>
      </c>
      <c r="FP15" t="e">
        <f>AND('Pay Bill'!H62,"AAAAACz//6s=")</f>
        <v>#VALUE!</v>
      </c>
      <c r="FQ15" t="e">
        <f>AND('Pay Bill'!I62,"AAAAACz//6w=")</f>
        <v>#VALUE!</v>
      </c>
      <c r="FR15" t="e">
        <f>AND('Pay Bill'!J62,"AAAAACz//60=")</f>
        <v>#VALUE!</v>
      </c>
      <c r="FS15" t="e">
        <f>AND('Pay Bill'!#REF!,"AAAAACz//64=")</f>
        <v>#REF!</v>
      </c>
      <c r="FT15" t="e">
        <f>AND('Pay Bill'!#REF!,"AAAAACz//68=")</f>
        <v>#REF!</v>
      </c>
      <c r="FU15" t="e">
        <f>AND('Pay Bill'!#REF!,"AAAAACz//7A=")</f>
        <v>#REF!</v>
      </c>
      <c r="FV15" t="e">
        <f>AND('Pay Bill'!K62,"AAAAACz//7E=")</f>
        <v>#VALUE!</v>
      </c>
      <c r="FW15" t="e">
        <f>AND('Pay Bill'!L62,"AAAAACz//7I=")</f>
        <v>#VALUE!</v>
      </c>
      <c r="FX15" t="e">
        <f>AND('Pay Bill'!M62,"AAAAACz//7M=")</f>
        <v>#VALUE!</v>
      </c>
      <c r="FY15" t="e">
        <f>AND('Pay Bill'!#REF!,"AAAAACz//7Q=")</f>
        <v>#REF!</v>
      </c>
      <c r="FZ15" t="e">
        <f>AND('Pay Bill'!#REF!,"AAAAACz//7U=")</f>
        <v>#REF!</v>
      </c>
      <c r="GA15" t="e">
        <f>AND('Pay Bill'!#REF!,"AAAAACz//7Y=")</f>
        <v>#REF!</v>
      </c>
      <c r="GB15" t="e">
        <f>AND('Pay Bill'!#REF!,"AAAAACz//7c=")</f>
        <v>#REF!</v>
      </c>
      <c r="GC15" t="e">
        <f>AND('Pay Bill'!N62,"AAAAACz//7g=")</f>
        <v>#VALUE!</v>
      </c>
      <c r="GD15" t="e">
        <f>AND('Pay Bill'!A63,"AAAAACz//7k=")</f>
        <v>#VALUE!</v>
      </c>
      <c r="GE15" t="e">
        <f>AND('Pay Bill'!B63,"AAAAACz//7o=")</f>
        <v>#VALUE!</v>
      </c>
      <c r="GF15" t="e">
        <f>AND('Pay Bill'!C63,"AAAAACz//7s=")</f>
        <v>#VALUE!</v>
      </c>
      <c r="GG15" t="e">
        <f>AND('Pay Bill'!D63,"AAAAACz//7w=")</f>
        <v>#VALUE!</v>
      </c>
      <c r="GH15" t="e">
        <f>AND('Pay Bill'!E63,"AAAAACz//70=")</f>
        <v>#VALUE!</v>
      </c>
      <c r="GI15" t="e">
        <f>AND('Pay Bill'!F63,"AAAAACz//74=")</f>
        <v>#VALUE!</v>
      </c>
      <c r="GJ15" t="e">
        <f>AND('Pay Bill'!G63,"AAAAACz//78=")</f>
        <v>#VALUE!</v>
      </c>
      <c r="GK15" t="e">
        <f>AND('Pay Bill'!H63,"AAAAACz//8A=")</f>
        <v>#VALUE!</v>
      </c>
      <c r="GL15" t="e">
        <f>AND('Pay Bill'!I63,"AAAAACz//8E=")</f>
        <v>#VALUE!</v>
      </c>
      <c r="GM15" t="e">
        <f>AND('Pay Bill'!J63,"AAAAACz//8I=")</f>
        <v>#VALUE!</v>
      </c>
      <c r="GN15" t="e">
        <f>AND('Pay Bill'!#REF!,"AAAAACz//8M=")</f>
        <v>#REF!</v>
      </c>
      <c r="GO15" t="e">
        <f>AND('Pay Bill'!#REF!,"AAAAACz//8Q=")</f>
        <v>#REF!</v>
      </c>
      <c r="GP15" t="e">
        <f>AND('Pay Bill'!#REF!,"AAAAACz//8U=")</f>
        <v>#REF!</v>
      </c>
      <c r="GQ15" t="e">
        <f>AND('Pay Bill'!K63,"AAAAACz//8Y=")</f>
        <v>#VALUE!</v>
      </c>
      <c r="GR15" t="e">
        <f>AND('Pay Bill'!L63,"AAAAACz//8c=")</f>
        <v>#VALUE!</v>
      </c>
      <c r="GS15" t="e">
        <f>AND('Pay Bill'!M63,"AAAAACz//8g=")</f>
        <v>#VALUE!</v>
      </c>
      <c r="GT15" t="e">
        <f>AND('Pay Bill'!#REF!,"AAAAACz//8k=")</f>
        <v>#REF!</v>
      </c>
      <c r="GU15" t="e">
        <f>AND('Pay Bill'!#REF!,"AAAAACz//8o=")</f>
        <v>#REF!</v>
      </c>
      <c r="GV15" t="e">
        <f>AND('Pay Bill'!#REF!,"AAAAACz//8s=")</f>
        <v>#REF!</v>
      </c>
      <c r="GW15" t="e">
        <f>AND('Pay Bill'!#REF!,"AAAAACz//8w=")</f>
        <v>#REF!</v>
      </c>
      <c r="GX15" t="e">
        <f>AND('Pay Bill'!N63,"AAAAACz//80=")</f>
        <v>#VALUE!</v>
      </c>
      <c r="GY15" t="e">
        <f>AND('Pay Bill'!A64,"AAAAACz//84=")</f>
        <v>#VALUE!</v>
      </c>
      <c r="GZ15" t="e">
        <f>AND('Pay Bill'!B64,"AAAAACz//88=")</f>
        <v>#VALUE!</v>
      </c>
      <c r="HA15" t="e">
        <f>AND('Pay Bill'!C64,"AAAAACz//9A=")</f>
        <v>#VALUE!</v>
      </c>
      <c r="HB15" t="e">
        <f>AND('Pay Bill'!D64,"AAAAACz//9E=")</f>
        <v>#VALUE!</v>
      </c>
      <c r="HC15" t="e">
        <f>AND('Pay Bill'!E64,"AAAAACz//9I=")</f>
        <v>#VALUE!</v>
      </c>
      <c r="HD15" t="e">
        <f>AND('Pay Bill'!F64,"AAAAACz//9M=")</f>
        <v>#VALUE!</v>
      </c>
      <c r="HE15" t="e">
        <f>AND('Pay Bill'!G64,"AAAAACz//9Q=")</f>
        <v>#VALUE!</v>
      </c>
      <c r="HF15" t="e">
        <f>AND('Pay Bill'!H64,"AAAAACz//9U=")</f>
        <v>#VALUE!</v>
      </c>
      <c r="HG15" t="e">
        <f>AND('Pay Bill'!I64,"AAAAACz//9Y=")</f>
        <v>#VALUE!</v>
      </c>
      <c r="HH15" t="e">
        <f>AND('Pay Bill'!J64,"AAAAACz//9c=")</f>
        <v>#VALUE!</v>
      </c>
      <c r="HI15" t="e">
        <f>AND('Pay Bill'!#REF!,"AAAAACz//9g=")</f>
        <v>#REF!</v>
      </c>
      <c r="HJ15" t="e">
        <f>AND('Pay Bill'!#REF!,"AAAAACz//9k=")</f>
        <v>#REF!</v>
      </c>
      <c r="HK15" t="e">
        <f>AND('Pay Bill'!#REF!,"AAAAACz//9o=")</f>
        <v>#REF!</v>
      </c>
      <c r="HL15" t="e">
        <f>AND('Pay Bill'!K64,"AAAAACz//9s=")</f>
        <v>#VALUE!</v>
      </c>
      <c r="HM15" t="e">
        <f>AND('Pay Bill'!L64,"AAAAACz//9w=")</f>
        <v>#VALUE!</v>
      </c>
      <c r="HN15" t="e">
        <f>AND('Pay Bill'!M64,"AAAAACz//90=")</f>
        <v>#VALUE!</v>
      </c>
      <c r="HO15" t="e">
        <f>AND('Pay Bill'!#REF!,"AAAAACz//94=")</f>
        <v>#REF!</v>
      </c>
      <c r="HP15" t="e">
        <f>AND('Pay Bill'!#REF!,"AAAAACz//98=")</f>
        <v>#REF!</v>
      </c>
      <c r="HQ15" t="e">
        <f>AND('Pay Bill'!#REF!,"AAAAACz//+A=")</f>
        <v>#REF!</v>
      </c>
      <c r="HR15" t="e">
        <f>AND('Pay Bill'!#REF!,"AAAAACz//+E=")</f>
        <v>#REF!</v>
      </c>
      <c r="HS15" t="e">
        <f>AND('Pay Bill'!N64,"AAAAACz//+I=")</f>
        <v>#VALUE!</v>
      </c>
      <c r="HT15" t="e">
        <f>AND('Pay Bill'!A65,"AAAAACz//+M=")</f>
        <v>#VALUE!</v>
      </c>
      <c r="HU15" t="e">
        <f>AND('Pay Bill'!B65,"AAAAACz//+Q=")</f>
        <v>#VALUE!</v>
      </c>
      <c r="HV15" t="e">
        <f>AND('Pay Bill'!C65,"AAAAACz//+U=")</f>
        <v>#VALUE!</v>
      </c>
      <c r="HW15" t="e">
        <f>AND('Pay Bill'!D65,"AAAAACz//+Y=")</f>
        <v>#VALUE!</v>
      </c>
      <c r="HX15" t="e">
        <f>AND('Pay Bill'!E65,"AAAAACz//+c=")</f>
        <v>#VALUE!</v>
      </c>
      <c r="HY15" t="e">
        <f>AND('Pay Bill'!F65,"AAAAACz//+g=")</f>
        <v>#VALUE!</v>
      </c>
      <c r="HZ15" t="e">
        <f>AND('Pay Bill'!G65,"AAAAACz//+k=")</f>
        <v>#VALUE!</v>
      </c>
      <c r="IA15" t="e">
        <f>AND('Pay Bill'!H65,"AAAAACz//+o=")</f>
        <v>#VALUE!</v>
      </c>
      <c r="IB15" t="e">
        <f>AND('Pay Bill'!I65,"AAAAACz//+s=")</f>
        <v>#VALUE!</v>
      </c>
      <c r="IC15" t="e">
        <f>AND('Pay Bill'!J65,"AAAAACz//+w=")</f>
        <v>#VALUE!</v>
      </c>
      <c r="ID15" t="e">
        <f>AND('Pay Bill'!#REF!,"AAAAACz//+0=")</f>
        <v>#REF!</v>
      </c>
      <c r="IE15" t="e">
        <f>AND('Pay Bill'!#REF!,"AAAAACz//+4=")</f>
        <v>#REF!</v>
      </c>
      <c r="IF15" t="e">
        <f>AND('Pay Bill'!#REF!,"AAAAACz//+8=")</f>
        <v>#REF!</v>
      </c>
      <c r="IG15" t="e">
        <f>AND('Pay Bill'!K65,"AAAAACz///A=")</f>
        <v>#VALUE!</v>
      </c>
      <c r="IH15" t="e">
        <f>AND('Pay Bill'!L65,"AAAAACz///E=")</f>
        <v>#VALUE!</v>
      </c>
      <c r="II15" t="e">
        <f>AND('Pay Bill'!M65,"AAAAACz///I=")</f>
        <v>#VALUE!</v>
      </c>
      <c r="IJ15" t="e">
        <f>AND('Pay Bill'!#REF!,"AAAAACz///M=")</f>
        <v>#REF!</v>
      </c>
      <c r="IK15" t="e">
        <f>AND('Pay Bill'!#REF!,"AAAAACz///Q=")</f>
        <v>#REF!</v>
      </c>
      <c r="IL15" t="e">
        <f>AND('Pay Bill'!#REF!,"AAAAACz///U=")</f>
        <v>#REF!</v>
      </c>
      <c r="IM15" t="e">
        <f>AND('Pay Bill'!#REF!,"AAAAACz///Y=")</f>
        <v>#REF!</v>
      </c>
      <c r="IN15" t="e">
        <f>AND('Pay Bill'!N65,"AAAAACz///c=")</f>
        <v>#VALUE!</v>
      </c>
      <c r="IO15" t="e">
        <f>AND('Pay Bill'!A66,"AAAAACz///g=")</f>
        <v>#VALUE!</v>
      </c>
      <c r="IP15" t="e">
        <f>AND('Pay Bill'!B66,"AAAAACz///k=")</f>
        <v>#VALUE!</v>
      </c>
      <c r="IQ15" t="e">
        <f>AND('Pay Bill'!C66,"AAAAACz///o=")</f>
        <v>#VALUE!</v>
      </c>
      <c r="IR15" t="e">
        <f>AND('Pay Bill'!D66,"AAAAACz///s=")</f>
        <v>#VALUE!</v>
      </c>
      <c r="IS15" t="e">
        <f>AND('Pay Bill'!E66,"AAAAACz///w=")</f>
        <v>#VALUE!</v>
      </c>
      <c r="IT15" t="e">
        <f>AND('Pay Bill'!F66,"AAAAACz///0=")</f>
        <v>#VALUE!</v>
      </c>
      <c r="IU15" t="e">
        <f>AND('Pay Bill'!G66,"AAAAACz///4=")</f>
        <v>#VALUE!</v>
      </c>
      <c r="IV15" t="e">
        <f>AND('Pay Bill'!H66,"AAAAACz///8=")</f>
        <v>#VALUE!</v>
      </c>
    </row>
    <row r="16" spans="1:256" x14ac:dyDescent="0.25">
      <c r="A16" t="e">
        <f>AND('Pay Bill'!I66,"AAAAAH+v/wA=")</f>
        <v>#VALUE!</v>
      </c>
      <c r="B16" t="e">
        <f>AND('Pay Bill'!J66,"AAAAAH+v/wE=")</f>
        <v>#VALUE!</v>
      </c>
      <c r="C16" t="e">
        <f>AND('Pay Bill'!#REF!,"AAAAAH+v/wI=")</f>
        <v>#REF!</v>
      </c>
      <c r="D16" t="e">
        <f>AND('Pay Bill'!#REF!,"AAAAAH+v/wM=")</f>
        <v>#REF!</v>
      </c>
      <c r="E16" t="e">
        <f>AND('Pay Bill'!#REF!,"AAAAAH+v/wQ=")</f>
        <v>#REF!</v>
      </c>
      <c r="F16" t="e">
        <f>AND('Pay Bill'!K66,"AAAAAH+v/wU=")</f>
        <v>#VALUE!</v>
      </c>
      <c r="G16" t="e">
        <f>AND('Pay Bill'!L66,"AAAAAH+v/wY=")</f>
        <v>#VALUE!</v>
      </c>
      <c r="H16" t="e">
        <f>AND('Pay Bill'!M66,"AAAAAH+v/wc=")</f>
        <v>#VALUE!</v>
      </c>
      <c r="I16" t="e">
        <f>AND('Pay Bill'!#REF!,"AAAAAH+v/wg=")</f>
        <v>#REF!</v>
      </c>
      <c r="J16" t="e">
        <f>AND('Pay Bill'!#REF!,"AAAAAH+v/wk=")</f>
        <v>#REF!</v>
      </c>
      <c r="K16" t="e">
        <f>AND('Pay Bill'!#REF!,"AAAAAH+v/wo=")</f>
        <v>#REF!</v>
      </c>
      <c r="L16" t="e">
        <f>AND('Pay Bill'!#REF!,"AAAAAH+v/ws=")</f>
        <v>#REF!</v>
      </c>
      <c r="M16" t="e">
        <f>AND('Pay Bill'!N66,"AAAAAH+v/ww=")</f>
        <v>#VALUE!</v>
      </c>
      <c r="N16" t="e">
        <f>AND('Pay Bill'!A67,"AAAAAH+v/w0=")</f>
        <v>#VALUE!</v>
      </c>
      <c r="O16" t="e">
        <f>AND('Pay Bill'!B67,"AAAAAH+v/w4=")</f>
        <v>#VALUE!</v>
      </c>
      <c r="P16" t="e">
        <f>AND('Pay Bill'!C67,"AAAAAH+v/w8=")</f>
        <v>#VALUE!</v>
      </c>
      <c r="Q16" t="e">
        <f>AND('Pay Bill'!D67,"AAAAAH+v/xA=")</f>
        <v>#VALUE!</v>
      </c>
      <c r="R16" t="e">
        <f>AND('Pay Bill'!E67,"AAAAAH+v/xE=")</f>
        <v>#VALUE!</v>
      </c>
      <c r="S16" t="e">
        <f>AND('Pay Bill'!F67,"AAAAAH+v/xI=")</f>
        <v>#VALUE!</v>
      </c>
      <c r="T16" t="e">
        <f>AND('Pay Bill'!G67,"AAAAAH+v/xM=")</f>
        <v>#VALUE!</v>
      </c>
      <c r="U16" t="e">
        <f>AND('Pay Bill'!H67,"AAAAAH+v/xQ=")</f>
        <v>#VALUE!</v>
      </c>
      <c r="V16" t="e">
        <f>AND('Pay Bill'!I67,"AAAAAH+v/xU=")</f>
        <v>#VALUE!</v>
      </c>
      <c r="W16" t="e">
        <f>AND('Pay Bill'!J67,"AAAAAH+v/xY=")</f>
        <v>#VALUE!</v>
      </c>
      <c r="X16" t="e">
        <f>AND('Pay Bill'!#REF!,"AAAAAH+v/xc=")</f>
        <v>#REF!</v>
      </c>
      <c r="Y16" t="e">
        <f>AND('Pay Bill'!#REF!,"AAAAAH+v/xg=")</f>
        <v>#REF!</v>
      </c>
      <c r="Z16" t="e">
        <f>AND('Pay Bill'!#REF!,"AAAAAH+v/xk=")</f>
        <v>#REF!</v>
      </c>
      <c r="AA16" t="e">
        <f>AND('Pay Bill'!K67,"AAAAAH+v/xo=")</f>
        <v>#VALUE!</v>
      </c>
      <c r="AB16" t="e">
        <f>AND('Pay Bill'!L67,"AAAAAH+v/xs=")</f>
        <v>#VALUE!</v>
      </c>
      <c r="AC16" t="e">
        <f>AND('Pay Bill'!M67,"AAAAAH+v/xw=")</f>
        <v>#VALUE!</v>
      </c>
      <c r="AD16" t="e">
        <f>AND('Pay Bill'!#REF!,"AAAAAH+v/x0=")</f>
        <v>#REF!</v>
      </c>
      <c r="AE16" t="e">
        <f>AND('Pay Bill'!#REF!,"AAAAAH+v/x4=")</f>
        <v>#REF!</v>
      </c>
      <c r="AF16" t="e">
        <f>AND('Pay Bill'!#REF!,"AAAAAH+v/x8=")</f>
        <v>#REF!</v>
      </c>
      <c r="AG16" t="e">
        <f>AND('Pay Bill'!#REF!,"AAAAAH+v/yA=")</f>
        <v>#REF!</v>
      </c>
      <c r="AH16" t="e">
        <f>AND('Pay Bill'!N67,"AAAAAH+v/yE=")</f>
        <v>#VALUE!</v>
      </c>
      <c r="AI16" t="e">
        <f>AND('Pay Bill'!A68,"AAAAAH+v/yI=")</f>
        <v>#VALUE!</v>
      </c>
      <c r="AJ16" t="e">
        <f>AND('Pay Bill'!B68,"AAAAAH+v/yM=")</f>
        <v>#VALUE!</v>
      </c>
      <c r="AK16" t="e">
        <f>AND('Pay Bill'!C68,"AAAAAH+v/yQ=")</f>
        <v>#VALUE!</v>
      </c>
      <c r="AL16" t="e">
        <f>AND('Pay Bill'!D68,"AAAAAH+v/yU=")</f>
        <v>#VALUE!</v>
      </c>
      <c r="AM16" t="e">
        <f>AND('Pay Bill'!E68,"AAAAAH+v/yY=")</f>
        <v>#VALUE!</v>
      </c>
      <c r="AN16" t="e">
        <f>AND('Pay Bill'!F68,"AAAAAH+v/yc=")</f>
        <v>#VALUE!</v>
      </c>
      <c r="AO16" t="e">
        <f>AND('Pay Bill'!G68,"AAAAAH+v/yg=")</f>
        <v>#VALUE!</v>
      </c>
      <c r="AP16" t="e">
        <f>AND('Pay Bill'!H68,"AAAAAH+v/yk=")</f>
        <v>#VALUE!</v>
      </c>
      <c r="AQ16" t="e">
        <f>AND('Pay Bill'!I68,"AAAAAH+v/yo=")</f>
        <v>#VALUE!</v>
      </c>
      <c r="AR16" t="e">
        <f>AND('Pay Bill'!J68,"AAAAAH+v/ys=")</f>
        <v>#VALUE!</v>
      </c>
      <c r="AS16" t="e">
        <f>AND('Pay Bill'!#REF!,"AAAAAH+v/yw=")</f>
        <v>#REF!</v>
      </c>
      <c r="AT16" t="e">
        <f>AND('Pay Bill'!#REF!,"AAAAAH+v/y0=")</f>
        <v>#REF!</v>
      </c>
      <c r="AU16" t="e">
        <f>AND('Pay Bill'!#REF!,"AAAAAH+v/y4=")</f>
        <v>#REF!</v>
      </c>
      <c r="AV16" t="e">
        <f>AND('Pay Bill'!K68,"AAAAAH+v/y8=")</f>
        <v>#VALUE!</v>
      </c>
      <c r="AW16" t="e">
        <f>AND('Pay Bill'!L68,"AAAAAH+v/zA=")</f>
        <v>#VALUE!</v>
      </c>
      <c r="AX16" t="e">
        <f>AND('Pay Bill'!M68,"AAAAAH+v/zE=")</f>
        <v>#VALUE!</v>
      </c>
      <c r="AY16" t="e">
        <f>AND('Pay Bill'!#REF!,"AAAAAH+v/zI=")</f>
        <v>#REF!</v>
      </c>
      <c r="AZ16" t="e">
        <f>AND('Pay Bill'!#REF!,"AAAAAH+v/zM=")</f>
        <v>#REF!</v>
      </c>
      <c r="BA16" t="e">
        <f>AND('Pay Bill'!#REF!,"AAAAAH+v/zQ=")</f>
        <v>#REF!</v>
      </c>
      <c r="BB16" t="e">
        <f>AND('Pay Bill'!#REF!,"AAAAAH+v/zU=")</f>
        <v>#REF!</v>
      </c>
      <c r="BC16" t="e">
        <f>AND('Pay Bill'!N68,"AAAAAH+v/zY=")</f>
        <v>#VALUE!</v>
      </c>
      <c r="BD16" t="e">
        <f>AND('Pay Bill'!A69,"AAAAAH+v/zc=")</f>
        <v>#VALUE!</v>
      </c>
      <c r="BE16" t="e">
        <f>AND('Pay Bill'!B69,"AAAAAH+v/zg=")</f>
        <v>#VALUE!</v>
      </c>
      <c r="BF16" t="e">
        <f>AND('Pay Bill'!C69,"AAAAAH+v/zk=")</f>
        <v>#VALUE!</v>
      </c>
      <c r="BG16" t="e">
        <f>AND('Pay Bill'!D69,"AAAAAH+v/zo=")</f>
        <v>#VALUE!</v>
      </c>
      <c r="BH16" t="e">
        <f>AND('Pay Bill'!E69,"AAAAAH+v/zs=")</f>
        <v>#VALUE!</v>
      </c>
      <c r="BI16" t="e">
        <f>AND('Pay Bill'!F69,"AAAAAH+v/zw=")</f>
        <v>#VALUE!</v>
      </c>
      <c r="BJ16" t="e">
        <f>AND('Pay Bill'!G69,"AAAAAH+v/z0=")</f>
        <v>#VALUE!</v>
      </c>
      <c r="BK16" t="e">
        <f>AND('Pay Bill'!H69,"AAAAAH+v/z4=")</f>
        <v>#VALUE!</v>
      </c>
      <c r="BL16" t="e">
        <f>AND('Pay Bill'!I69,"AAAAAH+v/z8=")</f>
        <v>#VALUE!</v>
      </c>
      <c r="BM16" t="e">
        <f>AND('Pay Bill'!J69,"AAAAAH+v/0A=")</f>
        <v>#VALUE!</v>
      </c>
      <c r="BN16" t="e">
        <f>AND('Pay Bill'!#REF!,"AAAAAH+v/0E=")</f>
        <v>#REF!</v>
      </c>
      <c r="BO16" t="e">
        <f>AND('Pay Bill'!#REF!,"AAAAAH+v/0I=")</f>
        <v>#REF!</v>
      </c>
      <c r="BP16" t="e">
        <f>AND('Pay Bill'!#REF!,"AAAAAH+v/0M=")</f>
        <v>#REF!</v>
      </c>
      <c r="BQ16" t="e">
        <f>AND('Pay Bill'!K69,"AAAAAH+v/0Q=")</f>
        <v>#VALUE!</v>
      </c>
      <c r="BR16" t="e">
        <f>AND('Pay Bill'!L69,"AAAAAH+v/0U=")</f>
        <v>#VALUE!</v>
      </c>
      <c r="BS16" t="e">
        <f>AND('Pay Bill'!M69,"AAAAAH+v/0Y=")</f>
        <v>#VALUE!</v>
      </c>
      <c r="BT16" t="e">
        <f>AND('Pay Bill'!#REF!,"AAAAAH+v/0c=")</f>
        <v>#REF!</v>
      </c>
      <c r="BU16" t="e">
        <f>AND('Pay Bill'!#REF!,"AAAAAH+v/0g=")</f>
        <v>#REF!</v>
      </c>
      <c r="BV16" t="e">
        <f>AND('Pay Bill'!#REF!,"AAAAAH+v/0k=")</f>
        <v>#REF!</v>
      </c>
      <c r="BW16" t="e">
        <f>AND('Pay Bill'!#REF!,"AAAAAH+v/0o=")</f>
        <v>#REF!</v>
      </c>
      <c r="BX16" t="e">
        <f>AND('Pay Bill'!N69,"AAAAAH+v/0s=")</f>
        <v>#VALUE!</v>
      </c>
      <c r="BY16" t="e">
        <f>AND('Pay Bill'!A70,"AAAAAH+v/0w=")</f>
        <v>#VALUE!</v>
      </c>
      <c r="BZ16" t="e">
        <f>AND('Pay Bill'!B70,"AAAAAH+v/00=")</f>
        <v>#VALUE!</v>
      </c>
      <c r="CA16" t="e">
        <f>AND('Pay Bill'!C70,"AAAAAH+v/04=")</f>
        <v>#VALUE!</v>
      </c>
      <c r="CB16" t="e">
        <f>AND('Pay Bill'!D70,"AAAAAH+v/08=")</f>
        <v>#VALUE!</v>
      </c>
      <c r="CC16" t="e">
        <f>AND('Pay Bill'!E70,"AAAAAH+v/1A=")</f>
        <v>#VALUE!</v>
      </c>
      <c r="CD16" t="e">
        <f>AND('Pay Bill'!F70,"AAAAAH+v/1E=")</f>
        <v>#VALUE!</v>
      </c>
      <c r="CE16" t="e">
        <f>AND('Pay Bill'!G70,"AAAAAH+v/1I=")</f>
        <v>#VALUE!</v>
      </c>
      <c r="CF16" t="e">
        <f>AND('Pay Bill'!H70,"AAAAAH+v/1M=")</f>
        <v>#VALUE!</v>
      </c>
      <c r="CG16" t="e">
        <f>AND('Pay Bill'!I70,"AAAAAH+v/1Q=")</f>
        <v>#VALUE!</v>
      </c>
      <c r="CH16" t="e">
        <f>AND('Pay Bill'!J70,"AAAAAH+v/1U=")</f>
        <v>#VALUE!</v>
      </c>
      <c r="CI16" t="e">
        <f>AND('Pay Bill'!#REF!,"AAAAAH+v/1Y=")</f>
        <v>#REF!</v>
      </c>
      <c r="CJ16" t="e">
        <f>AND('Pay Bill'!#REF!,"AAAAAH+v/1c=")</f>
        <v>#REF!</v>
      </c>
      <c r="CK16" t="e">
        <f>AND('Pay Bill'!#REF!,"AAAAAH+v/1g=")</f>
        <v>#REF!</v>
      </c>
      <c r="CL16" t="e">
        <f>AND('Pay Bill'!K70,"AAAAAH+v/1k=")</f>
        <v>#VALUE!</v>
      </c>
      <c r="CM16" t="e">
        <f>AND('Pay Bill'!L70,"AAAAAH+v/1o=")</f>
        <v>#VALUE!</v>
      </c>
      <c r="CN16" t="e">
        <f>AND('Pay Bill'!M70,"AAAAAH+v/1s=")</f>
        <v>#VALUE!</v>
      </c>
      <c r="CO16" t="e">
        <f>AND('Pay Bill'!#REF!,"AAAAAH+v/1w=")</f>
        <v>#REF!</v>
      </c>
      <c r="CP16" t="e">
        <f>AND('Pay Bill'!#REF!,"AAAAAH+v/10=")</f>
        <v>#REF!</v>
      </c>
      <c r="CQ16" t="e">
        <f>AND('Pay Bill'!#REF!,"AAAAAH+v/14=")</f>
        <v>#REF!</v>
      </c>
      <c r="CR16" t="e">
        <f>AND('Pay Bill'!#REF!,"AAAAAH+v/18=")</f>
        <v>#REF!</v>
      </c>
      <c r="CS16" t="e">
        <f>AND('Pay Bill'!N70,"AAAAAH+v/2A=")</f>
        <v>#VALUE!</v>
      </c>
      <c r="CT16" t="e">
        <f>AND('Pay Bill'!A71,"AAAAAH+v/2E=")</f>
        <v>#VALUE!</v>
      </c>
      <c r="CU16" t="e">
        <f>AND('Pay Bill'!B71,"AAAAAH+v/2I=")</f>
        <v>#VALUE!</v>
      </c>
      <c r="CV16" t="e">
        <f>AND('Pay Bill'!C71,"AAAAAH+v/2M=")</f>
        <v>#VALUE!</v>
      </c>
      <c r="CW16" t="e">
        <f>AND('Pay Bill'!D71,"AAAAAH+v/2Q=")</f>
        <v>#VALUE!</v>
      </c>
      <c r="CX16" t="e">
        <f>AND('Pay Bill'!E71,"AAAAAH+v/2U=")</f>
        <v>#VALUE!</v>
      </c>
      <c r="CY16" t="e">
        <f>AND('Pay Bill'!F71,"AAAAAH+v/2Y=")</f>
        <v>#VALUE!</v>
      </c>
      <c r="CZ16" t="e">
        <f>AND('Pay Bill'!G71,"AAAAAH+v/2c=")</f>
        <v>#VALUE!</v>
      </c>
      <c r="DA16" t="e">
        <f>AND('Pay Bill'!H71,"AAAAAH+v/2g=")</f>
        <v>#VALUE!</v>
      </c>
      <c r="DB16" t="e">
        <f>AND('Pay Bill'!I71,"AAAAAH+v/2k=")</f>
        <v>#VALUE!</v>
      </c>
      <c r="DC16" t="e">
        <f>AND('Pay Bill'!J71,"AAAAAH+v/2o=")</f>
        <v>#VALUE!</v>
      </c>
      <c r="DD16" t="e">
        <f>AND('Pay Bill'!#REF!,"AAAAAH+v/2s=")</f>
        <v>#REF!</v>
      </c>
      <c r="DE16" t="e">
        <f>AND('Pay Bill'!#REF!,"AAAAAH+v/2w=")</f>
        <v>#REF!</v>
      </c>
      <c r="DF16" t="e">
        <f>AND('Pay Bill'!#REF!,"AAAAAH+v/20=")</f>
        <v>#REF!</v>
      </c>
      <c r="DG16" t="e">
        <f>AND('Pay Bill'!K71,"AAAAAH+v/24=")</f>
        <v>#VALUE!</v>
      </c>
      <c r="DH16" t="e">
        <f>AND('Pay Bill'!L71,"AAAAAH+v/28=")</f>
        <v>#VALUE!</v>
      </c>
      <c r="DI16" t="e">
        <f>AND('Pay Bill'!M71,"AAAAAH+v/3A=")</f>
        <v>#VALUE!</v>
      </c>
      <c r="DJ16" t="e">
        <f>AND('Pay Bill'!#REF!,"AAAAAH+v/3E=")</f>
        <v>#REF!</v>
      </c>
      <c r="DK16" t="e">
        <f>AND('Pay Bill'!#REF!,"AAAAAH+v/3I=")</f>
        <v>#REF!</v>
      </c>
      <c r="DL16" t="e">
        <f>AND('Pay Bill'!#REF!,"AAAAAH+v/3M=")</f>
        <v>#REF!</v>
      </c>
      <c r="DM16" t="e">
        <f>AND('Pay Bill'!#REF!,"AAAAAH+v/3Q=")</f>
        <v>#REF!</v>
      </c>
      <c r="DN16" t="e">
        <f>AND('Pay Bill'!N71,"AAAAAH+v/3U=")</f>
        <v>#VALUE!</v>
      </c>
      <c r="DO16" t="e">
        <f>AND('Pay Bill'!A72,"AAAAAH+v/3Y=")</f>
        <v>#VALUE!</v>
      </c>
      <c r="DP16" t="e">
        <f>AND('Pay Bill'!B72,"AAAAAH+v/3c=")</f>
        <v>#VALUE!</v>
      </c>
      <c r="DQ16" t="e">
        <f>AND('Pay Bill'!C72,"AAAAAH+v/3g=")</f>
        <v>#VALUE!</v>
      </c>
      <c r="DR16" t="e">
        <f>AND('Pay Bill'!D72,"AAAAAH+v/3k=")</f>
        <v>#VALUE!</v>
      </c>
      <c r="DS16" t="e">
        <f>AND('Pay Bill'!E72,"AAAAAH+v/3o=")</f>
        <v>#VALUE!</v>
      </c>
      <c r="DT16" t="e">
        <f>AND('Pay Bill'!F72,"AAAAAH+v/3s=")</f>
        <v>#VALUE!</v>
      </c>
      <c r="DU16" t="e">
        <f>AND('Pay Bill'!G72,"AAAAAH+v/3w=")</f>
        <v>#VALUE!</v>
      </c>
      <c r="DV16" t="e">
        <f>AND('Pay Bill'!H72,"AAAAAH+v/30=")</f>
        <v>#VALUE!</v>
      </c>
      <c r="DW16" t="e">
        <f>AND('Pay Bill'!I72,"AAAAAH+v/34=")</f>
        <v>#VALUE!</v>
      </c>
      <c r="DX16" t="e">
        <f>AND('Pay Bill'!J72,"AAAAAH+v/38=")</f>
        <v>#VALUE!</v>
      </c>
      <c r="DY16" t="e">
        <f>AND('Pay Bill'!#REF!,"AAAAAH+v/4A=")</f>
        <v>#REF!</v>
      </c>
      <c r="DZ16" t="e">
        <f>AND('Pay Bill'!#REF!,"AAAAAH+v/4E=")</f>
        <v>#REF!</v>
      </c>
      <c r="EA16" t="e">
        <f>AND('Pay Bill'!#REF!,"AAAAAH+v/4I=")</f>
        <v>#REF!</v>
      </c>
      <c r="EB16" t="e">
        <f>AND('Pay Bill'!K72,"AAAAAH+v/4M=")</f>
        <v>#VALUE!</v>
      </c>
      <c r="EC16" t="e">
        <f>AND('Pay Bill'!L72,"AAAAAH+v/4Q=")</f>
        <v>#VALUE!</v>
      </c>
      <c r="ED16" t="e">
        <f>AND('Pay Bill'!M72,"AAAAAH+v/4U=")</f>
        <v>#VALUE!</v>
      </c>
      <c r="EE16" t="e">
        <f>AND('Pay Bill'!#REF!,"AAAAAH+v/4Y=")</f>
        <v>#REF!</v>
      </c>
      <c r="EF16" t="e">
        <f>AND('Pay Bill'!#REF!,"AAAAAH+v/4c=")</f>
        <v>#REF!</v>
      </c>
      <c r="EG16" t="e">
        <f>AND('Pay Bill'!#REF!,"AAAAAH+v/4g=")</f>
        <v>#REF!</v>
      </c>
      <c r="EH16" t="e">
        <f>AND('Pay Bill'!#REF!,"AAAAAH+v/4k=")</f>
        <v>#REF!</v>
      </c>
      <c r="EI16" t="e">
        <f>AND('Pay Bill'!N72,"AAAAAH+v/4o=")</f>
        <v>#VALUE!</v>
      </c>
      <c r="EJ16" t="e">
        <f>AND('Pay Bill'!A73,"AAAAAH+v/4s=")</f>
        <v>#VALUE!</v>
      </c>
      <c r="EK16" t="e">
        <f>AND('Pay Bill'!B73,"AAAAAH+v/4w=")</f>
        <v>#VALUE!</v>
      </c>
      <c r="EL16" t="e">
        <f>AND('Pay Bill'!C73,"AAAAAH+v/40=")</f>
        <v>#VALUE!</v>
      </c>
      <c r="EM16" t="e">
        <f>AND('Pay Bill'!D73,"AAAAAH+v/44=")</f>
        <v>#VALUE!</v>
      </c>
      <c r="EN16" t="e">
        <f>AND('Pay Bill'!E73,"AAAAAH+v/48=")</f>
        <v>#VALUE!</v>
      </c>
      <c r="EO16" t="e">
        <f>AND('Pay Bill'!F73,"AAAAAH+v/5A=")</f>
        <v>#VALUE!</v>
      </c>
      <c r="EP16" t="e">
        <f>AND('Pay Bill'!G73,"AAAAAH+v/5E=")</f>
        <v>#VALUE!</v>
      </c>
      <c r="EQ16" t="e">
        <f>AND('Pay Bill'!H73,"AAAAAH+v/5I=")</f>
        <v>#VALUE!</v>
      </c>
      <c r="ER16" t="e">
        <f>AND('Pay Bill'!I73,"AAAAAH+v/5M=")</f>
        <v>#VALUE!</v>
      </c>
      <c r="ES16" t="e">
        <f>AND('Pay Bill'!J73,"AAAAAH+v/5Q=")</f>
        <v>#VALUE!</v>
      </c>
      <c r="ET16" t="e">
        <f>AND('Pay Bill'!#REF!,"AAAAAH+v/5U=")</f>
        <v>#REF!</v>
      </c>
      <c r="EU16" t="e">
        <f>AND('Pay Bill'!#REF!,"AAAAAH+v/5Y=")</f>
        <v>#REF!</v>
      </c>
      <c r="EV16" t="e">
        <f>AND('Pay Bill'!#REF!,"AAAAAH+v/5c=")</f>
        <v>#REF!</v>
      </c>
      <c r="EW16" t="e">
        <f>AND('Pay Bill'!K73,"AAAAAH+v/5g=")</f>
        <v>#VALUE!</v>
      </c>
      <c r="EX16" t="e">
        <f>AND('Pay Bill'!L73,"AAAAAH+v/5k=")</f>
        <v>#VALUE!</v>
      </c>
      <c r="EY16" t="e">
        <f>AND('Pay Bill'!M73,"AAAAAH+v/5o=")</f>
        <v>#VALUE!</v>
      </c>
      <c r="EZ16" t="e">
        <f>AND('Pay Bill'!#REF!,"AAAAAH+v/5s=")</f>
        <v>#REF!</v>
      </c>
      <c r="FA16" t="e">
        <f>AND('Pay Bill'!#REF!,"AAAAAH+v/5w=")</f>
        <v>#REF!</v>
      </c>
      <c r="FB16" t="e">
        <f>AND('Pay Bill'!#REF!,"AAAAAH+v/50=")</f>
        <v>#REF!</v>
      </c>
      <c r="FC16" t="e">
        <f>AND('Pay Bill'!#REF!,"AAAAAH+v/54=")</f>
        <v>#REF!</v>
      </c>
      <c r="FD16" t="e">
        <f>AND('Pay Bill'!N73,"AAAAAH+v/58=")</f>
        <v>#VALUE!</v>
      </c>
      <c r="FE16" t="e">
        <f>AND('Pay Bill'!A74,"AAAAAH+v/6A=")</f>
        <v>#VALUE!</v>
      </c>
      <c r="FF16" t="e">
        <f>AND('Pay Bill'!B74,"AAAAAH+v/6E=")</f>
        <v>#VALUE!</v>
      </c>
      <c r="FG16" t="e">
        <f>AND('Pay Bill'!C74,"AAAAAH+v/6I=")</f>
        <v>#VALUE!</v>
      </c>
      <c r="FH16" t="e">
        <f>AND('Pay Bill'!D74,"AAAAAH+v/6M=")</f>
        <v>#VALUE!</v>
      </c>
      <c r="FI16" t="e">
        <f>AND('Pay Bill'!E74,"AAAAAH+v/6Q=")</f>
        <v>#VALUE!</v>
      </c>
      <c r="FJ16" t="e">
        <f>AND('Pay Bill'!F74,"AAAAAH+v/6U=")</f>
        <v>#VALUE!</v>
      </c>
      <c r="FK16" t="e">
        <f>AND('Pay Bill'!G74,"AAAAAH+v/6Y=")</f>
        <v>#VALUE!</v>
      </c>
      <c r="FL16" t="e">
        <f>AND('Pay Bill'!H74,"AAAAAH+v/6c=")</f>
        <v>#VALUE!</v>
      </c>
      <c r="FM16" t="e">
        <f>AND('Pay Bill'!I74,"AAAAAH+v/6g=")</f>
        <v>#VALUE!</v>
      </c>
      <c r="FN16" t="e">
        <f>AND('Pay Bill'!J74,"AAAAAH+v/6k=")</f>
        <v>#VALUE!</v>
      </c>
      <c r="FO16" t="e">
        <f>AND('Pay Bill'!#REF!,"AAAAAH+v/6o=")</f>
        <v>#REF!</v>
      </c>
      <c r="FP16" t="e">
        <f>AND('Pay Bill'!#REF!,"AAAAAH+v/6s=")</f>
        <v>#REF!</v>
      </c>
      <c r="FQ16" t="e">
        <f>AND('Pay Bill'!#REF!,"AAAAAH+v/6w=")</f>
        <v>#REF!</v>
      </c>
      <c r="FR16" t="e">
        <f>AND('Pay Bill'!K74,"AAAAAH+v/60=")</f>
        <v>#VALUE!</v>
      </c>
      <c r="FS16" t="e">
        <f>AND('Pay Bill'!L74,"AAAAAH+v/64=")</f>
        <v>#VALUE!</v>
      </c>
      <c r="FT16" t="e">
        <f>AND('Pay Bill'!M74,"AAAAAH+v/68=")</f>
        <v>#VALUE!</v>
      </c>
      <c r="FU16" t="e">
        <f>AND('Pay Bill'!#REF!,"AAAAAH+v/7A=")</f>
        <v>#REF!</v>
      </c>
      <c r="FV16" t="e">
        <f>AND('Pay Bill'!#REF!,"AAAAAH+v/7E=")</f>
        <v>#REF!</v>
      </c>
      <c r="FW16" t="e">
        <f>AND('Pay Bill'!#REF!,"AAAAAH+v/7I=")</f>
        <v>#REF!</v>
      </c>
      <c r="FX16" t="e">
        <f>AND('Pay Bill'!#REF!,"AAAAAH+v/7M=")</f>
        <v>#REF!</v>
      </c>
      <c r="FY16" t="e">
        <f>AND('Pay Bill'!N74,"AAAAAH+v/7Q=")</f>
        <v>#VALUE!</v>
      </c>
      <c r="FZ16" t="e">
        <f>AND('Pay Bill'!A75,"AAAAAH+v/7U=")</f>
        <v>#VALUE!</v>
      </c>
      <c r="GA16" t="e">
        <f>AND('Pay Bill'!B75,"AAAAAH+v/7Y=")</f>
        <v>#VALUE!</v>
      </c>
      <c r="GB16" t="e">
        <f>AND('Pay Bill'!C75,"AAAAAH+v/7c=")</f>
        <v>#VALUE!</v>
      </c>
      <c r="GC16" t="e">
        <f>AND('Pay Bill'!D75,"AAAAAH+v/7g=")</f>
        <v>#VALUE!</v>
      </c>
      <c r="GD16" t="e">
        <f>AND('Pay Bill'!E75,"AAAAAH+v/7k=")</f>
        <v>#VALUE!</v>
      </c>
      <c r="GE16" t="e">
        <f>AND('Pay Bill'!F75,"AAAAAH+v/7o=")</f>
        <v>#VALUE!</v>
      </c>
      <c r="GF16" t="e">
        <f>AND('Pay Bill'!G75,"AAAAAH+v/7s=")</f>
        <v>#VALUE!</v>
      </c>
      <c r="GG16" t="e">
        <f>AND('Pay Bill'!H75,"AAAAAH+v/7w=")</f>
        <v>#VALUE!</v>
      </c>
      <c r="GH16" t="e">
        <f>AND('Pay Bill'!I75,"AAAAAH+v/70=")</f>
        <v>#VALUE!</v>
      </c>
      <c r="GI16" t="e">
        <f>AND('Pay Bill'!J75,"AAAAAH+v/74=")</f>
        <v>#VALUE!</v>
      </c>
      <c r="GJ16" t="e">
        <f>AND('Pay Bill'!#REF!,"AAAAAH+v/78=")</f>
        <v>#REF!</v>
      </c>
      <c r="GK16" t="e">
        <f>AND('Pay Bill'!#REF!,"AAAAAH+v/8A=")</f>
        <v>#REF!</v>
      </c>
      <c r="GL16" t="e">
        <f>AND('Pay Bill'!#REF!,"AAAAAH+v/8E=")</f>
        <v>#REF!</v>
      </c>
      <c r="GM16" t="e">
        <f>AND('Pay Bill'!K75,"AAAAAH+v/8I=")</f>
        <v>#VALUE!</v>
      </c>
      <c r="GN16" t="e">
        <f>AND('Pay Bill'!L75,"AAAAAH+v/8M=")</f>
        <v>#VALUE!</v>
      </c>
      <c r="GO16" t="e">
        <f>AND('Pay Bill'!M75,"AAAAAH+v/8Q=")</f>
        <v>#VALUE!</v>
      </c>
      <c r="GP16" t="e">
        <f>AND('Pay Bill'!#REF!,"AAAAAH+v/8U=")</f>
        <v>#REF!</v>
      </c>
      <c r="GQ16" t="e">
        <f>AND('Pay Bill'!#REF!,"AAAAAH+v/8Y=")</f>
        <v>#REF!</v>
      </c>
      <c r="GR16" t="e">
        <f>AND('Pay Bill'!#REF!,"AAAAAH+v/8c=")</f>
        <v>#REF!</v>
      </c>
      <c r="GS16" t="e">
        <f>AND('Pay Bill'!#REF!,"AAAAAH+v/8g=")</f>
        <v>#REF!</v>
      </c>
      <c r="GT16" t="e">
        <f>AND('Pay Bill'!N75,"AAAAAH+v/8k=")</f>
        <v>#VALUE!</v>
      </c>
      <c r="GU16" t="e">
        <f>AND('Pay Bill'!A76,"AAAAAH+v/8o=")</f>
        <v>#VALUE!</v>
      </c>
      <c r="GV16" t="e">
        <f>AND('Pay Bill'!B76,"AAAAAH+v/8s=")</f>
        <v>#VALUE!</v>
      </c>
      <c r="GW16" t="e">
        <f>AND('Pay Bill'!C76,"AAAAAH+v/8w=")</f>
        <v>#VALUE!</v>
      </c>
      <c r="GX16" t="e">
        <f>AND('Pay Bill'!D76,"AAAAAH+v/80=")</f>
        <v>#VALUE!</v>
      </c>
      <c r="GY16" t="e">
        <f>AND('Pay Bill'!E76,"AAAAAH+v/84=")</f>
        <v>#VALUE!</v>
      </c>
      <c r="GZ16" t="e">
        <f>AND('Pay Bill'!F76,"AAAAAH+v/88=")</f>
        <v>#VALUE!</v>
      </c>
      <c r="HA16" t="e">
        <f>AND('Pay Bill'!G76,"AAAAAH+v/9A=")</f>
        <v>#VALUE!</v>
      </c>
      <c r="HB16" t="e">
        <f>AND('Pay Bill'!H76,"AAAAAH+v/9E=")</f>
        <v>#VALUE!</v>
      </c>
      <c r="HC16" t="e">
        <f>AND('Pay Bill'!I76,"AAAAAH+v/9I=")</f>
        <v>#VALUE!</v>
      </c>
      <c r="HD16" t="e">
        <f>AND('Pay Bill'!J76,"AAAAAH+v/9M=")</f>
        <v>#VALUE!</v>
      </c>
      <c r="HE16" t="e">
        <f>AND('Pay Bill'!#REF!,"AAAAAH+v/9Q=")</f>
        <v>#REF!</v>
      </c>
      <c r="HF16" t="e">
        <f>AND('Pay Bill'!#REF!,"AAAAAH+v/9U=")</f>
        <v>#REF!</v>
      </c>
      <c r="HG16" t="e">
        <f>AND('Pay Bill'!#REF!,"AAAAAH+v/9Y=")</f>
        <v>#REF!</v>
      </c>
      <c r="HH16" t="e">
        <f>AND('Pay Bill'!K76,"AAAAAH+v/9c=")</f>
        <v>#VALUE!</v>
      </c>
      <c r="HI16" t="e">
        <f>AND('Pay Bill'!L76,"AAAAAH+v/9g=")</f>
        <v>#VALUE!</v>
      </c>
      <c r="HJ16" t="e">
        <f>AND('Pay Bill'!M76,"AAAAAH+v/9k=")</f>
        <v>#VALUE!</v>
      </c>
      <c r="HK16" t="e">
        <f>AND('Pay Bill'!#REF!,"AAAAAH+v/9o=")</f>
        <v>#REF!</v>
      </c>
      <c r="HL16" t="e">
        <f>AND('Pay Bill'!#REF!,"AAAAAH+v/9s=")</f>
        <v>#REF!</v>
      </c>
      <c r="HM16" t="e">
        <f>AND('Pay Bill'!#REF!,"AAAAAH+v/9w=")</f>
        <v>#REF!</v>
      </c>
      <c r="HN16" t="e">
        <f>AND('Pay Bill'!#REF!,"AAAAAH+v/90=")</f>
        <v>#REF!</v>
      </c>
      <c r="HO16" t="e">
        <f>AND('Pay Bill'!N76,"AAAAAH+v/94=")</f>
        <v>#VALUE!</v>
      </c>
      <c r="HP16" t="e">
        <f>AND('Pay Bill'!A77,"AAAAAH+v/98=")</f>
        <v>#VALUE!</v>
      </c>
      <c r="HQ16" t="e">
        <f>AND('Pay Bill'!B77,"AAAAAH+v/+A=")</f>
        <v>#VALUE!</v>
      </c>
      <c r="HR16" t="e">
        <f>AND('Pay Bill'!C77,"AAAAAH+v/+E=")</f>
        <v>#VALUE!</v>
      </c>
      <c r="HS16" t="e">
        <f>AND('Pay Bill'!D77,"AAAAAH+v/+I=")</f>
        <v>#VALUE!</v>
      </c>
      <c r="HT16" t="e">
        <f>AND('Pay Bill'!E77,"AAAAAH+v/+M=")</f>
        <v>#VALUE!</v>
      </c>
      <c r="HU16" t="e">
        <f>AND('Pay Bill'!F77,"AAAAAH+v/+Q=")</f>
        <v>#VALUE!</v>
      </c>
      <c r="HV16" t="e">
        <f>AND('Pay Bill'!G77,"AAAAAH+v/+U=")</f>
        <v>#VALUE!</v>
      </c>
      <c r="HW16" t="e">
        <f>AND('Pay Bill'!H77,"AAAAAH+v/+Y=")</f>
        <v>#VALUE!</v>
      </c>
      <c r="HX16" t="e">
        <f>AND('Pay Bill'!I77,"AAAAAH+v/+c=")</f>
        <v>#VALUE!</v>
      </c>
      <c r="HY16" t="e">
        <f>AND('Pay Bill'!J77,"AAAAAH+v/+g=")</f>
        <v>#VALUE!</v>
      </c>
      <c r="HZ16" t="e">
        <f>AND('Pay Bill'!#REF!,"AAAAAH+v/+k=")</f>
        <v>#REF!</v>
      </c>
      <c r="IA16" t="e">
        <f>AND('Pay Bill'!#REF!,"AAAAAH+v/+o=")</f>
        <v>#REF!</v>
      </c>
      <c r="IB16" t="e">
        <f>AND('Pay Bill'!#REF!,"AAAAAH+v/+s=")</f>
        <v>#REF!</v>
      </c>
      <c r="IC16" t="e">
        <f>AND('Pay Bill'!K77,"AAAAAH+v/+w=")</f>
        <v>#VALUE!</v>
      </c>
      <c r="ID16" t="e">
        <f>AND('Pay Bill'!L77,"AAAAAH+v/+0=")</f>
        <v>#VALUE!</v>
      </c>
      <c r="IE16" t="e">
        <f>AND('Pay Bill'!M77,"AAAAAH+v/+4=")</f>
        <v>#VALUE!</v>
      </c>
      <c r="IF16" t="e">
        <f>AND('Pay Bill'!#REF!,"AAAAAH+v/+8=")</f>
        <v>#REF!</v>
      </c>
      <c r="IG16" t="e">
        <f>AND('Pay Bill'!#REF!,"AAAAAH+v//A=")</f>
        <v>#REF!</v>
      </c>
      <c r="IH16" t="e">
        <f>AND('Pay Bill'!#REF!,"AAAAAH+v//E=")</f>
        <v>#REF!</v>
      </c>
      <c r="II16" t="e">
        <f>AND('Pay Bill'!#REF!,"AAAAAH+v//I=")</f>
        <v>#REF!</v>
      </c>
      <c r="IJ16" t="e">
        <f>AND('Pay Bill'!N77,"AAAAAH+v//M=")</f>
        <v>#VALUE!</v>
      </c>
      <c r="IK16" t="e">
        <f>AND('Pay Bill'!A78,"AAAAAH+v//Q=")</f>
        <v>#VALUE!</v>
      </c>
      <c r="IL16" t="e">
        <f>AND('Pay Bill'!B78,"AAAAAH+v//U=")</f>
        <v>#VALUE!</v>
      </c>
      <c r="IM16" t="e">
        <f>AND('Pay Bill'!C78,"AAAAAH+v//Y=")</f>
        <v>#VALUE!</v>
      </c>
      <c r="IN16" t="e">
        <f>AND('Pay Bill'!D78,"AAAAAH+v//c=")</f>
        <v>#VALUE!</v>
      </c>
      <c r="IO16" t="e">
        <f>AND('Pay Bill'!E78,"AAAAAH+v//g=")</f>
        <v>#VALUE!</v>
      </c>
      <c r="IP16" t="e">
        <f>AND('Pay Bill'!F78,"AAAAAH+v//k=")</f>
        <v>#VALUE!</v>
      </c>
      <c r="IQ16" t="e">
        <f>AND('Pay Bill'!G78,"AAAAAH+v//o=")</f>
        <v>#VALUE!</v>
      </c>
      <c r="IR16" t="e">
        <f>AND('Pay Bill'!H78,"AAAAAH+v//s=")</f>
        <v>#VALUE!</v>
      </c>
      <c r="IS16" t="e">
        <f>AND('Pay Bill'!I78,"AAAAAH+v//w=")</f>
        <v>#VALUE!</v>
      </c>
      <c r="IT16" t="e">
        <f>AND('Pay Bill'!J78,"AAAAAH+v//0=")</f>
        <v>#VALUE!</v>
      </c>
      <c r="IU16" t="e">
        <f>AND('Pay Bill'!#REF!,"AAAAAH+v//4=")</f>
        <v>#REF!</v>
      </c>
      <c r="IV16" t="e">
        <f>AND('Pay Bill'!#REF!,"AAAAAH+v//8=")</f>
        <v>#REF!</v>
      </c>
    </row>
    <row r="17" spans="1:256" x14ac:dyDescent="0.25">
      <c r="A17" t="e">
        <f>AND('Pay Bill'!#REF!,"AAAAAH/q+wA=")</f>
        <v>#REF!</v>
      </c>
      <c r="B17" t="e">
        <f>AND('Pay Bill'!K78,"AAAAAH/q+wE=")</f>
        <v>#VALUE!</v>
      </c>
      <c r="C17" t="e">
        <f>AND('Pay Bill'!L78,"AAAAAH/q+wI=")</f>
        <v>#VALUE!</v>
      </c>
      <c r="D17" t="e">
        <f>AND('Pay Bill'!M78,"AAAAAH/q+wM=")</f>
        <v>#VALUE!</v>
      </c>
      <c r="E17" t="e">
        <f>AND('Pay Bill'!#REF!,"AAAAAH/q+wQ=")</f>
        <v>#REF!</v>
      </c>
      <c r="F17" t="e">
        <f>AND('Pay Bill'!#REF!,"AAAAAH/q+wU=")</f>
        <v>#REF!</v>
      </c>
      <c r="G17" t="e">
        <f>AND('Pay Bill'!#REF!,"AAAAAH/q+wY=")</f>
        <v>#REF!</v>
      </c>
      <c r="H17" t="e">
        <f>AND('Pay Bill'!#REF!,"AAAAAH/q+wc=")</f>
        <v>#REF!</v>
      </c>
      <c r="I17" t="e">
        <f>AND('Pay Bill'!N78,"AAAAAH/q+wg=")</f>
        <v>#VALUE!</v>
      </c>
      <c r="J17" t="e">
        <f>AND('Pay Bill'!A79,"AAAAAH/q+wk=")</f>
        <v>#VALUE!</v>
      </c>
      <c r="K17" t="e">
        <f>AND('Pay Bill'!B79,"AAAAAH/q+wo=")</f>
        <v>#VALUE!</v>
      </c>
      <c r="L17" t="e">
        <f>AND('Pay Bill'!C79,"AAAAAH/q+ws=")</f>
        <v>#VALUE!</v>
      </c>
      <c r="M17" t="e">
        <f>AND('Pay Bill'!D79,"AAAAAH/q+ww=")</f>
        <v>#VALUE!</v>
      </c>
      <c r="N17" t="e">
        <f>AND('Pay Bill'!E79,"AAAAAH/q+w0=")</f>
        <v>#VALUE!</v>
      </c>
      <c r="O17" t="e">
        <f>AND('Pay Bill'!F79,"AAAAAH/q+w4=")</f>
        <v>#VALUE!</v>
      </c>
      <c r="P17" t="e">
        <f>AND('Pay Bill'!G79,"AAAAAH/q+w8=")</f>
        <v>#VALUE!</v>
      </c>
      <c r="Q17" t="e">
        <f>AND('Pay Bill'!H79,"AAAAAH/q+xA=")</f>
        <v>#VALUE!</v>
      </c>
      <c r="R17" t="e">
        <f>AND('Pay Bill'!I79,"AAAAAH/q+xE=")</f>
        <v>#VALUE!</v>
      </c>
      <c r="S17" t="e">
        <f>AND('Pay Bill'!J79,"AAAAAH/q+xI=")</f>
        <v>#VALUE!</v>
      </c>
      <c r="T17" t="e">
        <f>AND('Pay Bill'!#REF!,"AAAAAH/q+xM=")</f>
        <v>#REF!</v>
      </c>
      <c r="U17" t="e">
        <f>AND('Pay Bill'!#REF!,"AAAAAH/q+xQ=")</f>
        <v>#REF!</v>
      </c>
      <c r="V17" t="e">
        <f>AND('Pay Bill'!#REF!,"AAAAAH/q+xU=")</f>
        <v>#REF!</v>
      </c>
      <c r="W17" t="e">
        <f>AND('Pay Bill'!K79,"AAAAAH/q+xY=")</f>
        <v>#VALUE!</v>
      </c>
      <c r="X17" t="e">
        <f>AND('Pay Bill'!L79,"AAAAAH/q+xc=")</f>
        <v>#VALUE!</v>
      </c>
      <c r="Y17" t="e">
        <f>AND('Pay Bill'!M79,"AAAAAH/q+xg=")</f>
        <v>#VALUE!</v>
      </c>
      <c r="Z17" t="e">
        <f>AND('Pay Bill'!#REF!,"AAAAAH/q+xk=")</f>
        <v>#REF!</v>
      </c>
      <c r="AA17" t="e">
        <f>AND('Pay Bill'!#REF!,"AAAAAH/q+xo=")</f>
        <v>#REF!</v>
      </c>
      <c r="AB17" t="e">
        <f>AND('Pay Bill'!#REF!,"AAAAAH/q+xs=")</f>
        <v>#REF!</v>
      </c>
      <c r="AC17" t="e">
        <f>AND('Pay Bill'!#REF!,"AAAAAH/q+xw=")</f>
        <v>#REF!</v>
      </c>
      <c r="AD17" t="e">
        <f>AND('Pay Bill'!N79,"AAAAAH/q+x0=")</f>
        <v>#VALUE!</v>
      </c>
      <c r="AE17" t="e">
        <f>AND('Pay Bill'!A80,"AAAAAH/q+x4=")</f>
        <v>#VALUE!</v>
      </c>
      <c r="AF17" t="e">
        <f>AND('Pay Bill'!B80,"AAAAAH/q+x8=")</f>
        <v>#VALUE!</v>
      </c>
      <c r="AG17" t="e">
        <f>AND('Pay Bill'!C80,"AAAAAH/q+yA=")</f>
        <v>#VALUE!</v>
      </c>
      <c r="AH17" t="e">
        <f>AND('Pay Bill'!D80,"AAAAAH/q+yE=")</f>
        <v>#VALUE!</v>
      </c>
      <c r="AI17" t="e">
        <f>AND('Pay Bill'!E80,"AAAAAH/q+yI=")</f>
        <v>#VALUE!</v>
      </c>
      <c r="AJ17" t="e">
        <f>AND('Pay Bill'!F80,"AAAAAH/q+yM=")</f>
        <v>#VALUE!</v>
      </c>
      <c r="AK17" t="e">
        <f>AND('Pay Bill'!G80,"AAAAAH/q+yQ=")</f>
        <v>#VALUE!</v>
      </c>
      <c r="AL17" t="e">
        <f>AND('Pay Bill'!H80,"AAAAAH/q+yU=")</f>
        <v>#VALUE!</v>
      </c>
      <c r="AM17" t="e">
        <f>AND('Pay Bill'!I80,"AAAAAH/q+yY=")</f>
        <v>#VALUE!</v>
      </c>
      <c r="AN17" t="e">
        <f>AND('Pay Bill'!J80,"AAAAAH/q+yc=")</f>
        <v>#VALUE!</v>
      </c>
      <c r="AO17" t="e">
        <f>AND('Pay Bill'!#REF!,"AAAAAH/q+yg=")</f>
        <v>#REF!</v>
      </c>
      <c r="AP17" t="e">
        <f>AND('Pay Bill'!#REF!,"AAAAAH/q+yk=")</f>
        <v>#REF!</v>
      </c>
      <c r="AQ17" t="e">
        <f>AND('Pay Bill'!#REF!,"AAAAAH/q+yo=")</f>
        <v>#REF!</v>
      </c>
      <c r="AR17" t="e">
        <f>AND('Pay Bill'!K80,"AAAAAH/q+ys=")</f>
        <v>#VALUE!</v>
      </c>
      <c r="AS17" t="e">
        <f>AND('Pay Bill'!L80,"AAAAAH/q+yw=")</f>
        <v>#VALUE!</v>
      </c>
      <c r="AT17" t="e">
        <f>AND('Pay Bill'!M80,"AAAAAH/q+y0=")</f>
        <v>#VALUE!</v>
      </c>
      <c r="AU17" t="e">
        <f>AND('Pay Bill'!#REF!,"AAAAAH/q+y4=")</f>
        <v>#REF!</v>
      </c>
      <c r="AV17" t="e">
        <f>AND('Pay Bill'!#REF!,"AAAAAH/q+y8=")</f>
        <v>#REF!</v>
      </c>
      <c r="AW17" t="e">
        <f>AND('Pay Bill'!#REF!,"AAAAAH/q+zA=")</f>
        <v>#REF!</v>
      </c>
      <c r="AX17" t="e">
        <f>AND('Pay Bill'!#REF!,"AAAAAH/q+zE=")</f>
        <v>#REF!</v>
      </c>
      <c r="AY17" t="e">
        <f>AND('Pay Bill'!N80,"AAAAAH/q+zI=")</f>
        <v>#VALUE!</v>
      </c>
      <c r="AZ17" t="e">
        <f>AND('Pay Bill'!A81,"AAAAAH/q+zM=")</f>
        <v>#VALUE!</v>
      </c>
      <c r="BA17" t="e">
        <f>AND('Pay Bill'!B81,"AAAAAH/q+zQ=")</f>
        <v>#VALUE!</v>
      </c>
      <c r="BB17" t="e">
        <f>AND('Pay Bill'!C81,"AAAAAH/q+zU=")</f>
        <v>#VALUE!</v>
      </c>
      <c r="BC17" t="e">
        <f>AND('Pay Bill'!D81,"AAAAAH/q+zY=")</f>
        <v>#VALUE!</v>
      </c>
      <c r="BD17" t="e">
        <f>AND('Pay Bill'!E81,"AAAAAH/q+zc=")</f>
        <v>#VALUE!</v>
      </c>
      <c r="BE17" t="e">
        <f>AND('Pay Bill'!F81,"AAAAAH/q+zg=")</f>
        <v>#VALUE!</v>
      </c>
      <c r="BF17" t="e">
        <f>AND('Pay Bill'!G81,"AAAAAH/q+zk=")</f>
        <v>#VALUE!</v>
      </c>
      <c r="BG17" t="e">
        <f>AND('Pay Bill'!H81,"AAAAAH/q+zo=")</f>
        <v>#VALUE!</v>
      </c>
      <c r="BH17" t="e">
        <f>AND('Pay Bill'!I81,"AAAAAH/q+zs=")</f>
        <v>#VALUE!</v>
      </c>
      <c r="BI17" t="e">
        <f>AND('Pay Bill'!J81,"AAAAAH/q+zw=")</f>
        <v>#VALUE!</v>
      </c>
      <c r="BJ17" t="e">
        <f>AND('Pay Bill'!#REF!,"AAAAAH/q+z0=")</f>
        <v>#REF!</v>
      </c>
      <c r="BK17" t="e">
        <f>AND('Pay Bill'!#REF!,"AAAAAH/q+z4=")</f>
        <v>#REF!</v>
      </c>
      <c r="BL17" t="e">
        <f>AND('Pay Bill'!#REF!,"AAAAAH/q+z8=")</f>
        <v>#REF!</v>
      </c>
      <c r="BM17" t="e">
        <f>AND('Pay Bill'!K81,"AAAAAH/q+0A=")</f>
        <v>#VALUE!</v>
      </c>
      <c r="BN17" t="e">
        <f>AND('Pay Bill'!L81,"AAAAAH/q+0E=")</f>
        <v>#VALUE!</v>
      </c>
      <c r="BO17" t="e">
        <f>AND('Pay Bill'!M81,"AAAAAH/q+0I=")</f>
        <v>#VALUE!</v>
      </c>
      <c r="BP17" t="e">
        <f>AND('Pay Bill'!#REF!,"AAAAAH/q+0M=")</f>
        <v>#REF!</v>
      </c>
      <c r="BQ17" t="e">
        <f>AND('Pay Bill'!#REF!,"AAAAAH/q+0Q=")</f>
        <v>#REF!</v>
      </c>
      <c r="BR17" t="e">
        <f>AND('Pay Bill'!#REF!,"AAAAAH/q+0U=")</f>
        <v>#REF!</v>
      </c>
      <c r="BS17" t="e">
        <f>AND('Pay Bill'!#REF!,"AAAAAH/q+0Y=")</f>
        <v>#REF!</v>
      </c>
      <c r="BT17" t="e">
        <f>AND('Pay Bill'!N81,"AAAAAH/q+0c=")</f>
        <v>#VALUE!</v>
      </c>
      <c r="BU17" t="e">
        <f>AND('Pay Bill'!A82,"AAAAAH/q+0g=")</f>
        <v>#VALUE!</v>
      </c>
      <c r="BV17" t="e">
        <f>AND('Pay Bill'!B82,"AAAAAH/q+0k=")</f>
        <v>#VALUE!</v>
      </c>
      <c r="BW17" t="e">
        <f>AND('Pay Bill'!C82,"AAAAAH/q+0o=")</f>
        <v>#VALUE!</v>
      </c>
      <c r="BX17" t="e">
        <f>AND('Pay Bill'!D82,"AAAAAH/q+0s=")</f>
        <v>#VALUE!</v>
      </c>
      <c r="BY17" t="e">
        <f>AND('Pay Bill'!E82,"AAAAAH/q+0w=")</f>
        <v>#VALUE!</v>
      </c>
      <c r="BZ17" t="e">
        <f>AND('Pay Bill'!F82,"AAAAAH/q+00=")</f>
        <v>#VALUE!</v>
      </c>
      <c r="CA17" t="e">
        <f>AND('Pay Bill'!G82,"AAAAAH/q+04=")</f>
        <v>#VALUE!</v>
      </c>
      <c r="CB17" t="e">
        <f>AND('Pay Bill'!H82,"AAAAAH/q+08=")</f>
        <v>#VALUE!</v>
      </c>
      <c r="CC17" t="e">
        <f>AND('Pay Bill'!I82,"AAAAAH/q+1A=")</f>
        <v>#VALUE!</v>
      </c>
      <c r="CD17" t="e">
        <f>AND('Pay Bill'!J82,"AAAAAH/q+1E=")</f>
        <v>#VALUE!</v>
      </c>
      <c r="CE17" t="e">
        <f>AND('Pay Bill'!#REF!,"AAAAAH/q+1I=")</f>
        <v>#REF!</v>
      </c>
      <c r="CF17" t="e">
        <f>AND('Pay Bill'!#REF!,"AAAAAH/q+1M=")</f>
        <v>#REF!</v>
      </c>
      <c r="CG17" t="e">
        <f>AND('Pay Bill'!#REF!,"AAAAAH/q+1Q=")</f>
        <v>#REF!</v>
      </c>
      <c r="CH17" t="e">
        <f>AND('Pay Bill'!K82,"AAAAAH/q+1U=")</f>
        <v>#VALUE!</v>
      </c>
      <c r="CI17" t="e">
        <f>AND('Pay Bill'!L82,"AAAAAH/q+1Y=")</f>
        <v>#VALUE!</v>
      </c>
      <c r="CJ17" t="e">
        <f>AND('Pay Bill'!M82,"AAAAAH/q+1c=")</f>
        <v>#VALUE!</v>
      </c>
      <c r="CK17" t="e">
        <f>AND('Pay Bill'!#REF!,"AAAAAH/q+1g=")</f>
        <v>#REF!</v>
      </c>
      <c r="CL17" t="e">
        <f>AND('Pay Bill'!#REF!,"AAAAAH/q+1k=")</f>
        <v>#REF!</v>
      </c>
      <c r="CM17" t="e">
        <f>AND('Pay Bill'!#REF!,"AAAAAH/q+1o=")</f>
        <v>#REF!</v>
      </c>
      <c r="CN17" t="e">
        <f>AND('Pay Bill'!#REF!,"AAAAAH/q+1s=")</f>
        <v>#REF!</v>
      </c>
      <c r="CO17" t="e">
        <f>AND('Pay Bill'!N82,"AAAAAH/q+1w=")</f>
        <v>#VALUE!</v>
      </c>
      <c r="CP17" t="e">
        <f>AND('Pay Bill'!A83,"AAAAAH/q+10=")</f>
        <v>#VALUE!</v>
      </c>
      <c r="CQ17" t="e">
        <f>AND('Pay Bill'!B83,"AAAAAH/q+14=")</f>
        <v>#VALUE!</v>
      </c>
      <c r="CR17" t="e">
        <f>AND('Pay Bill'!C83,"AAAAAH/q+18=")</f>
        <v>#VALUE!</v>
      </c>
      <c r="CS17" t="e">
        <f>AND('Pay Bill'!D83,"AAAAAH/q+2A=")</f>
        <v>#VALUE!</v>
      </c>
      <c r="CT17" t="e">
        <f>AND('Pay Bill'!E83,"AAAAAH/q+2E=")</f>
        <v>#VALUE!</v>
      </c>
      <c r="CU17" t="e">
        <f>AND('Pay Bill'!F83,"AAAAAH/q+2I=")</f>
        <v>#VALUE!</v>
      </c>
      <c r="CV17" t="e">
        <f>AND('Pay Bill'!G83,"AAAAAH/q+2M=")</f>
        <v>#VALUE!</v>
      </c>
      <c r="CW17" t="e">
        <f>AND('Pay Bill'!H83,"AAAAAH/q+2Q=")</f>
        <v>#VALUE!</v>
      </c>
      <c r="CX17" t="e">
        <f>AND('Pay Bill'!I83,"AAAAAH/q+2U=")</f>
        <v>#VALUE!</v>
      </c>
      <c r="CY17" t="e">
        <f>AND('Pay Bill'!J83,"AAAAAH/q+2Y=")</f>
        <v>#VALUE!</v>
      </c>
      <c r="CZ17" t="e">
        <f>AND('Pay Bill'!#REF!,"AAAAAH/q+2c=")</f>
        <v>#REF!</v>
      </c>
      <c r="DA17" t="e">
        <f>AND('Pay Bill'!#REF!,"AAAAAH/q+2g=")</f>
        <v>#REF!</v>
      </c>
      <c r="DB17" t="e">
        <f>AND('Pay Bill'!#REF!,"AAAAAH/q+2k=")</f>
        <v>#REF!</v>
      </c>
      <c r="DC17" t="e">
        <f>AND('Pay Bill'!K83,"AAAAAH/q+2o=")</f>
        <v>#VALUE!</v>
      </c>
      <c r="DD17" t="e">
        <f>AND('Pay Bill'!L83,"AAAAAH/q+2s=")</f>
        <v>#VALUE!</v>
      </c>
      <c r="DE17" t="e">
        <f>AND('Pay Bill'!M83,"AAAAAH/q+2w=")</f>
        <v>#VALUE!</v>
      </c>
      <c r="DF17" t="e">
        <f>AND('Pay Bill'!#REF!,"AAAAAH/q+20=")</f>
        <v>#REF!</v>
      </c>
      <c r="DG17" t="e">
        <f>AND('Pay Bill'!#REF!,"AAAAAH/q+24=")</f>
        <v>#REF!</v>
      </c>
      <c r="DH17" t="e">
        <f>AND('Pay Bill'!#REF!,"AAAAAH/q+28=")</f>
        <v>#REF!</v>
      </c>
      <c r="DI17" t="e">
        <f>AND('Pay Bill'!#REF!,"AAAAAH/q+3A=")</f>
        <v>#REF!</v>
      </c>
      <c r="DJ17" t="e">
        <f>AND('Pay Bill'!N83,"AAAAAH/q+3E=")</f>
        <v>#VALUE!</v>
      </c>
      <c r="DK17" t="e">
        <f>AND('Pay Bill'!A84,"AAAAAH/q+3I=")</f>
        <v>#VALUE!</v>
      </c>
      <c r="DL17" t="e">
        <f>AND('Pay Bill'!B84,"AAAAAH/q+3M=")</f>
        <v>#VALUE!</v>
      </c>
      <c r="DM17" t="e">
        <f>AND('Pay Bill'!C84,"AAAAAH/q+3Q=")</f>
        <v>#VALUE!</v>
      </c>
      <c r="DN17" t="e">
        <f>AND('Pay Bill'!D84,"AAAAAH/q+3U=")</f>
        <v>#VALUE!</v>
      </c>
      <c r="DO17" t="e">
        <f>AND('Pay Bill'!E84,"AAAAAH/q+3Y=")</f>
        <v>#VALUE!</v>
      </c>
      <c r="DP17" t="e">
        <f>AND('Pay Bill'!F84,"AAAAAH/q+3c=")</f>
        <v>#VALUE!</v>
      </c>
      <c r="DQ17" t="e">
        <f>AND('Pay Bill'!G84,"AAAAAH/q+3g=")</f>
        <v>#VALUE!</v>
      </c>
      <c r="DR17" t="e">
        <f>AND('Pay Bill'!H84,"AAAAAH/q+3k=")</f>
        <v>#VALUE!</v>
      </c>
      <c r="DS17" t="e">
        <f>AND('Pay Bill'!I84,"AAAAAH/q+3o=")</f>
        <v>#VALUE!</v>
      </c>
      <c r="DT17" t="e">
        <f>AND('Pay Bill'!J84,"AAAAAH/q+3s=")</f>
        <v>#VALUE!</v>
      </c>
      <c r="DU17" t="e">
        <f>AND('Pay Bill'!#REF!,"AAAAAH/q+3w=")</f>
        <v>#REF!</v>
      </c>
      <c r="DV17" t="e">
        <f>AND('Pay Bill'!#REF!,"AAAAAH/q+30=")</f>
        <v>#REF!</v>
      </c>
      <c r="DW17" t="e">
        <f>AND('Pay Bill'!#REF!,"AAAAAH/q+34=")</f>
        <v>#REF!</v>
      </c>
      <c r="DX17" t="e">
        <f>AND('Pay Bill'!K84,"AAAAAH/q+38=")</f>
        <v>#VALUE!</v>
      </c>
      <c r="DY17" t="e">
        <f>AND('Pay Bill'!L84,"AAAAAH/q+4A=")</f>
        <v>#VALUE!</v>
      </c>
      <c r="DZ17" t="e">
        <f>AND('Pay Bill'!M84,"AAAAAH/q+4E=")</f>
        <v>#VALUE!</v>
      </c>
      <c r="EA17" t="e">
        <f>AND('Pay Bill'!#REF!,"AAAAAH/q+4I=")</f>
        <v>#REF!</v>
      </c>
      <c r="EB17" t="e">
        <f>AND('Pay Bill'!#REF!,"AAAAAH/q+4M=")</f>
        <v>#REF!</v>
      </c>
      <c r="EC17" t="e">
        <f>AND('Pay Bill'!#REF!,"AAAAAH/q+4Q=")</f>
        <v>#REF!</v>
      </c>
      <c r="ED17" t="e">
        <f>AND('Pay Bill'!#REF!,"AAAAAH/q+4U=")</f>
        <v>#REF!</v>
      </c>
      <c r="EE17" t="e">
        <f>AND('Pay Bill'!N84,"AAAAAH/q+4Y=")</f>
        <v>#VALUE!</v>
      </c>
      <c r="EF17" t="e">
        <f>AND('Pay Bill'!A85,"AAAAAH/q+4c=")</f>
        <v>#VALUE!</v>
      </c>
      <c r="EG17" t="e">
        <f>AND('Pay Bill'!B85,"AAAAAH/q+4g=")</f>
        <v>#VALUE!</v>
      </c>
      <c r="EH17" t="e">
        <f>AND('Pay Bill'!C85,"AAAAAH/q+4k=")</f>
        <v>#VALUE!</v>
      </c>
      <c r="EI17" t="e">
        <f>AND('Pay Bill'!D85,"AAAAAH/q+4o=")</f>
        <v>#VALUE!</v>
      </c>
      <c r="EJ17" t="e">
        <f>AND('Pay Bill'!E85,"AAAAAH/q+4s=")</f>
        <v>#VALUE!</v>
      </c>
      <c r="EK17" t="e">
        <f>AND('Pay Bill'!F85,"AAAAAH/q+4w=")</f>
        <v>#VALUE!</v>
      </c>
      <c r="EL17" t="e">
        <f>AND('Pay Bill'!G85,"AAAAAH/q+40=")</f>
        <v>#VALUE!</v>
      </c>
      <c r="EM17" t="e">
        <f>AND('Pay Bill'!H85,"AAAAAH/q+44=")</f>
        <v>#VALUE!</v>
      </c>
      <c r="EN17" t="e">
        <f>AND('Pay Bill'!I85,"AAAAAH/q+48=")</f>
        <v>#VALUE!</v>
      </c>
      <c r="EO17" t="e">
        <f>AND('Pay Bill'!J85,"AAAAAH/q+5A=")</f>
        <v>#VALUE!</v>
      </c>
      <c r="EP17" t="e">
        <f>AND('Pay Bill'!#REF!,"AAAAAH/q+5E=")</f>
        <v>#REF!</v>
      </c>
      <c r="EQ17" t="e">
        <f>AND('Pay Bill'!#REF!,"AAAAAH/q+5I=")</f>
        <v>#REF!</v>
      </c>
      <c r="ER17" t="e">
        <f>AND('Pay Bill'!#REF!,"AAAAAH/q+5M=")</f>
        <v>#REF!</v>
      </c>
      <c r="ES17" t="e">
        <f>AND('Pay Bill'!K85,"AAAAAH/q+5Q=")</f>
        <v>#VALUE!</v>
      </c>
      <c r="ET17" t="e">
        <f>AND('Pay Bill'!L85,"AAAAAH/q+5U=")</f>
        <v>#VALUE!</v>
      </c>
      <c r="EU17" t="e">
        <f>AND('Pay Bill'!M85,"AAAAAH/q+5Y=")</f>
        <v>#VALUE!</v>
      </c>
      <c r="EV17" t="e">
        <f>AND('Pay Bill'!#REF!,"AAAAAH/q+5c=")</f>
        <v>#REF!</v>
      </c>
      <c r="EW17" t="e">
        <f>AND('Pay Bill'!#REF!,"AAAAAH/q+5g=")</f>
        <v>#REF!</v>
      </c>
      <c r="EX17" t="e">
        <f>AND('Pay Bill'!#REF!,"AAAAAH/q+5k=")</f>
        <v>#REF!</v>
      </c>
      <c r="EY17" t="e">
        <f>AND('Pay Bill'!#REF!,"AAAAAH/q+5o=")</f>
        <v>#REF!</v>
      </c>
      <c r="EZ17" t="e">
        <f>AND('Pay Bill'!N85,"AAAAAH/q+5s=")</f>
        <v>#VALUE!</v>
      </c>
      <c r="FA17" t="e">
        <f>AND('Pay Bill'!A86,"AAAAAH/q+5w=")</f>
        <v>#VALUE!</v>
      </c>
      <c r="FB17" t="e">
        <f>AND('Pay Bill'!B86,"AAAAAH/q+50=")</f>
        <v>#VALUE!</v>
      </c>
      <c r="FC17" t="e">
        <f>AND('Pay Bill'!C86,"AAAAAH/q+54=")</f>
        <v>#VALUE!</v>
      </c>
      <c r="FD17" t="e">
        <f>AND('Pay Bill'!D86,"AAAAAH/q+58=")</f>
        <v>#VALUE!</v>
      </c>
      <c r="FE17" t="e">
        <f>AND('Pay Bill'!E86,"AAAAAH/q+6A=")</f>
        <v>#VALUE!</v>
      </c>
      <c r="FF17" t="e">
        <f>AND('Pay Bill'!F86,"AAAAAH/q+6E=")</f>
        <v>#VALUE!</v>
      </c>
      <c r="FG17" t="e">
        <f>AND('Pay Bill'!G86,"AAAAAH/q+6I=")</f>
        <v>#VALUE!</v>
      </c>
      <c r="FH17" t="e">
        <f>AND('Pay Bill'!H86,"AAAAAH/q+6M=")</f>
        <v>#VALUE!</v>
      </c>
      <c r="FI17" t="e">
        <f>AND('Pay Bill'!I86,"AAAAAH/q+6Q=")</f>
        <v>#VALUE!</v>
      </c>
      <c r="FJ17" t="e">
        <f>AND('Pay Bill'!J86,"AAAAAH/q+6U=")</f>
        <v>#VALUE!</v>
      </c>
      <c r="FK17" t="e">
        <f>AND('Pay Bill'!#REF!,"AAAAAH/q+6Y=")</f>
        <v>#REF!</v>
      </c>
      <c r="FL17" t="e">
        <f>AND('Pay Bill'!#REF!,"AAAAAH/q+6c=")</f>
        <v>#REF!</v>
      </c>
      <c r="FM17" t="e">
        <f>AND('Pay Bill'!#REF!,"AAAAAH/q+6g=")</f>
        <v>#REF!</v>
      </c>
      <c r="FN17" t="e">
        <f>AND('Pay Bill'!K86,"AAAAAH/q+6k=")</f>
        <v>#VALUE!</v>
      </c>
      <c r="FO17" t="e">
        <f>AND('Pay Bill'!L86,"AAAAAH/q+6o=")</f>
        <v>#VALUE!</v>
      </c>
      <c r="FP17" t="e">
        <f>AND('Pay Bill'!M86,"AAAAAH/q+6s=")</f>
        <v>#VALUE!</v>
      </c>
      <c r="FQ17" t="e">
        <f>AND('Pay Bill'!#REF!,"AAAAAH/q+6w=")</f>
        <v>#REF!</v>
      </c>
      <c r="FR17" t="e">
        <f>AND('Pay Bill'!#REF!,"AAAAAH/q+60=")</f>
        <v>#REF!</v>
      </c>
      <c r="FS17" t="e">
        <f>AND('Pay Bill'!#REF!,"AAAAAH/q+64=")</f>
        <v>#REF!</v>
      </c>
      <c r="FT17" t="e">
        <f>AND('Pay Bill'!#REF!,"AAAAAH/q+68=")</f>
        <v>#REF!</v>
      </c>
      <c r="FU17" t="e">
        <f>AND('Pay Bill'!N86,"AAAAAH/q+7A=")</f>
        <v>#VALUE!</v>
      </c>
      <c r="FV17" t="e">
        <f>AND('Pay Bill'!A87,"AAAAAH/q+7E=")</f>
        <v>#VALUE!</v>
      </c>
      <c r="FW17" t="e">
        <f>AND('Pay Bill'!B87,"AAAAAH/q+7I=")</f>
        <v>#VALUE!</v>
      </c>
      <c r="FX17" t="e">
        <f>AND('Pay Bill'!C87,"AAAAAH/q+7M=")</f>
        <v>#VALUE!</v>
      </c>
      <c r="FY17" t="e">
        <f>AND('Pay Bill'!D87,"AAAAAH/q+7Q=")</f>
        <v>#VALUE!</v>
      </c>
      <c r="FZ17" t="e">
        <f>AND('Pay Bill'!E87,"AAAAAH/q+7U=")</f>
        <v>#VALUE!</v>
      </c>
      <c r="GA17" t="e">
        <f>AND('Pay Bill'!F87,"AAAAAH/q+7Y=")</f>
        <v>#VALUE!</v>
      </c>
      <c r="GB17" t="e">
        <f>AND('Pay Bill'!G87,"AAAAAH/q+7c=")</f>
        <v>#VALUE!</v>
      </c>
      <c r="GC17" t="e">
        <f>AND('Pay Bill'!H87,"AAAAAH/q+7g=")</f>
        <v>#VALUE!</v>
      </c>
      <c r="GD17" t="e">
        <f>AND('Pay Bill'!I87,"AAAAAH/q+7k=")</f>
        <v>#VALUE!</v>
      </c>
      <c r="GE17" t="e">
        <f>AND('Pay Bill'!J87,"AAAAAH/q+7o=")</f>
        <v>#VALUE!</v>
      </c>
      <c r="GF17" t="e">
        <f>AND('Pay Bill'!#REF!,"AAAAAH/q+7s=")</f>
        <v>#REF!</v>
      </c>
      <c r="GG17" t="e">
        <f>AND('Pay Bill'!#REF!,"AAAAAH/q+7w=")</f>
        <v>#REF!</v>
      </c>
      <c r="GH17" t="e">
        <f>AND('Pay Bill'!#REF!,"AAAAAH/q+70=")</f>
        <v>#REF!</v>
      </c>
      <c r="GI17" t="e">
        <f>AND('Pay Bill'!K87,"AAAAAH/q+74=")</f>
        <v>#VALUE!</v>
      </c>
      <c r="GJ17" t="e">
        <f>AND('Pay Bill'!L87,"AAAAAH/q+78=")</f>
        <v>#VALUE!</v>
      </c>
      <c r="GK17" t="e">
        <f>AND('Pay Bill'!M87,"AAAAAH/q+8A=")</f>
        <v>#VALUE!</v>
      </c>
      <c r="GL17" t="e">
        <f>AND('Pay Bill'!#REF!,"AAAAAH/q+8E=")</f>
        <v>#REF!</v>
      </c>
      <c r="GM17" t="e">
        <f>AND('Pay Bill'!#REF!,"AAAAAH/q+8I=")</f>
        <v>#REF!</v>
      </c>
      <c r="GN17" t="e">
        <f>AND('Pay Bill'!#REF!,"AAAAAH/q+8M=")</f>
        <v>#REF!</v>
      </c>
      <c r="GO17" t="e">
        <f>AND('Pay Bill'!#REF!,"AAAAAH/q+8Q=")</f>
        <v>#REF!</v>
      </c>
      <c r="GP17" t="e">
        <f>AND('Pay Bill'!N87,"AAAAAH/q+8U=")</f>
        <v>#VALUE!</v>
      </c>
      <c r="GQ17" t="e">
        <f>AND('Pay Bill'!A88,"AAAAAH/q+8Y=")</f>
        <v>#VALUE!</v>
      </c>
      <c r="GR17" t="e">
        <f>AND('Pay Bill'!B88,"AAAAAH/q+8c=")</f>
        <v>#VALUE!</v>
      </c>
      <c r="GS17" t="e">
        <f>AND('Pay Bill'!C88,"AAAAAH/q+8g=")</f>
        <v>#VALUE!</v>
      </c>
      <c r="GT17" t="e">
        <f>AND('Pay Bill'!D88,"AAAAAH/q+8k=")</f>
        <v>#VALUE!</v>
      </c>
      <c r="GU17" t="e">
        <f>AND('Pay Bill'!E88,"AAAAAH/q+8o=")</f>
        <v>#VALUE!</v>
      </c>
      <c r="GV17" t="e">
        <f>AND('Pay Bill'!F88,"AAAAAH/q+8s=")</f>
        <v>#VALUE!</v>
      </c>
      <c r="GW17" t="e">
        <f>AND('Pay Bill'!G88,"AAAAAH/q+8w=")</f>
        <v>#VALUE!</v>
      </c>
      <c r="GX17" t="e">
        <f>AND('Pay Bill'!H88,"AAAAAH/q+80=")</f>
        <v>#VALUE!</v>
      </c>
      <c r="GY17" t="e">
        <f>AND('Pay Bill'!I88,"AAAAAH/q+84=")</f>
        <v>#VALUE!</v>
      </c>
      <c r="GZ17" t="e">
        <f>AND('Pay Bill'!J88,"AAAAAH/q+88=")</f>
        <v>#VALUE!</v>
      </c>
      <c r="HA17" t="e">
        <f>AND('Pay Bill'!#REF!,"AAAAAH/q+9A=")</f>
        <v>#REF!</v>
      </c>
      <c r="HB17" t="e">
        <f>AND('Pay Bill'!#REF!,"AAAAAH/q+9E=")</f>
        <v>#REF!</v>
      </c>
      <c r="HC17" t="e">
        <f>AND('Pay Bill'!#REF!,"AAAAAH/q+9I=")</f>
        <v>#REF!</v>
      </c>
      <c r="HD17" t="e">
        <f>AND('Pay Bill'!K88,"AAAAAH/q+9M=")</f>
        <v>#VALUE!</v>
      </c>
      <c r="HE17" t="e">
        <f>AND('Pay Bill'!L88,"AAAAAH/q+9Q=")</f>
        <v>#VALUE!</v>
      </c>
      <c r="HF17" t="e">
        <f>AND('Pay Bill'!M88,"AAAAAH/q+9U=")</f>
        <v>#VALUE!</v>
      </c>
      <c r="HG17" t="e">
        <f>AND('Pay Bill'!#REF!,"AAAAAH/q+9Y=")</f>
        <v>#REF!</v>
      </c>
      <c r="HH17" t="e">
        <f>AND('Pay Bill'!#REF!,"AAAAAH/q+9c=")</f>
        <v>#REF!</v>
      </c>
      <c r="HI17" t="e">
        <f>AND('Pay Bill'!#REF!,"AAAAAH/q+9g=")</f>
        <v>#REF!</v>
      </c>
      <c r="HJ17" t="e">
        <f>AND('Pay Bill'!#REF!,"AAAAAH/q+9k=")</f>
        <v>#REF!</v>
      </c>
      <c r="HK17" t="e">
        <f>AND('Pay Bill'!N88,"AAAAAH/q+9o=")</f>
        <v>#VALUE!</v>
      </c>
      <c r="HL17" t="e">
        <f>AND('Pay Bill'!A89,"AAAAAH/q+9s=")</f>
        <v>#VALUE!</v>
      </c>
      <c r="HM17" t="e">
        <f>AND('Pay Bill'!B89,"AAAAAH/q+9w=")</f>
        <v>#VALUE!</v>
      </c>
      <c r="HN17" t="e">
        <f>AND('Pay Bill'!C89,"AAAAAH/q+90=")</f>
        <v>#VALUE!</v>
      </c>
      <c r="HO17" t="e">
        <f>AND('Pay Bill'!D89,"AAAAAH/q+94=")</f>
        <v>#VALUE!</v>
      </c>
      <c r="HP17" t="e">
        <f>AND('Pay Bill'!E89,"AAAAAH/q+98=")</f>
        <v>#VALUE!</v>
      </c>
      <c r="HQ17" t="e">
        <f>AND('Pay Bill'!F89,"AAAAAH/q++A=")</f>
        <v>#VALUE!</v>
      </c>
      <c r="HR17" t="e">
        <f>AND('Pay Bill'!G89,"AAAAAH/q++E=")</f>
        <v>#VALUE!</v>
      </c>
      <c r="HS17" t="e">
        <f>AND('Pay Bill'!H89,"AAAAAH/q++I=")</f>
        <v>#VALUE!</v>
      </c>
      <c r="HT17" t="e">
        <f>AND('Pay Bill'!I89,"AAAAAH/q++M=")</f>
        <v>#VALUE!</v>
      </c>
      <c r="HU17" t="e">
        <f>AND('Pay Bill'!J89,"AAAAAH/q++Q=")</f>
        <v>#VALUE!</v>
      </c>
      <c r="HV17" t="e">
        <f>AND('Pay Bill'!#REF!,"AAAAAH/q++U=")</f>
        <v>#REF!</v>
      </c>
      <c r="HW17" t="e">
        <f>AND('Pay Bill'!#REF!,"AAAAAH/q++Y=")</f>
        <v>#REF!</v>
      </c>
      <c r="HX17" t="e">
        <f>AND('Pay Bill'!#REF!,"AAAAAH/q++c=")</f>
        <v>#REF!</v>
      </c>
      <c r="HY17" t="e">
        <f>AND('Pay Bill'!K89,"AAAAAH/q++g=")</f>
        <v>#VALUE!</v>
      </c>
      <c r="HZ17" t="e">
        <f>AND('Pay Bill'!L89,"AAAAAH/q++k=")</f>
        <v>#VALUE!</v>
      </c>
      <c r="IA17" t="e">
        <f>AND('Pay Bill'!M89,"AAAAAH/q++o=")</f>
        <v>#VALUE!</v>
      </c>
      <c r="IB17" t="e">
        <f>AND('Pay Bill'!#REF!,"AAAAAH/q++s=")</f>
        <v>#REF!</v>
      </c>
      <c r="IC17" t="e">
        <f>AND('Pay Bill'!#REF!,"AAAAAH/q++w=")</f>
        <v>#REF!</v>
      </c>
      <c r="ID17" t="e">
        <f>AND('Pay Bill'!#REF!,"AAAAAH/q++0=")</f>
        <v>#REF!</v>
      </c>
      <c r="IE17" t="e">
        <f>AND('Pay Bill'!#REF!,"AAAAAH/q++4=")</f>
        <v>#REF!</v>
      </c>
      <c r="IF17" t="e">
        <f>AND('Pay Bill'!N89,"AAAAAH/q++8=")</f>
        <v>#VALUE!</v>
      </c>
      <c r="IG17" t="e">
        <f>AND('Pay Bill'!A90,"AAAAAH/q+/A=")</f>
        <v>#VALUE!</v>
      </c>
      <c r="IH17" t="e">
        <f>AND('Pay Bill'!B90,"AAAAAH/q+/E=")</f>
        <v>#VALUE!</v>
      </c>
      <c r="II17" t="e">
        <f>AND('Pay Bill'!C90,"AAAAAH/q+/I=")</f>
        <v>#VALUE!</v>
      </c>
      <c r="IJ17" t="e">
        <f>AND('Pay Bill'!D90,"AAAAAH/q+/M=")</f>
        <v>#VALUE!</v>
      </c>
      <c r="IK17" t="e">
        <f>AND('Pay Bill'!E90,"AAAAAH/q+/Q=")</f>
        <v>#VALUE!</v>
      </c>
      <c r="IL17" t="e">
        <f>AND('Pay Bill'!F90,"AAAAAH/q+/U=")</f>
        <v>#VALUE!</v>
      </c>
      <c r="IM17" t="e">
        <f>AND('Pay Bill'!G90,"AAAAAH/q+/Y=")</f>
        <v>#VALUE!</v>
      </c>
      <c r="IN17" t="e">
        <f>AND('Pay Bill'!H90,"AAAAAH/q+/c=")</f>
        <v>#VALUE!</v>
      </c>
      <c r="IO17" t="e">
        <f>AND('Pay Bill'!I90,"AAAAAH/q+/g=")</f>
        <v>#VALUE!</v>
      </c>
      <c r="IP17" t="e">
        <f>AND('Pay Bill'!J90,"AAAAAH/q+/k=")</f>
        <v>#VALUE!</v>
      </c>
      <c r="IQ17" t="e">
        <f>AND('Pay Bill'!#REF!,"AAAAAH/q+/o=")</f>
        <v>#REF!</v>
      </c>
      <c r="IR17" t="e">
        <f>AND('Pay Bill'!#REF!,"AAAAAH/q+/s=")</f>
        <v>#REF!</v>
      </c>
      <c r="IS17" t="e">
        <f>AND('Pay Bill'!#REF!,"AAAAAH/q+/w=")</f>
        <v>#REF!</v>
      </c>
      <c r="IT17" t="e">
        <f>AND('Pay Bill'!K90,"AAAAAH/q+/0=")</f>
        <v>#VALUE!</v>
      </c>
      <c r="IU17" t="e">
        <f>AND('Pay Bill'!L90,"AAAAAH/q+/4=")</f>
        <v>#VALUE!</v>
      </c>
      <c r="IV17" t="e">
        <f>AND('Pay Bill'!M90,"AAAAAH/q+/8=")</f>
        <v>#VALUE!</v>
      </c>
    </row>
    <row r="18" spans="1:256" x14ac:dyDescent="0.25">
      <c r="A18" t="e">
        <f>AND('Pay Bill'!#REF!,"AAAAADrzzwA=")</f>
        <v>#REF!</v>
      </c>
      <c r="B18" t="e">
        <f>AND('Pay Bill'!#REF!,"AAAAADrzzwE=")</f>
        <v>#REF!</v>
      </c>
      <c r="C18" t="e">
        <f>AND('Pay Bill'!#REF!,"AAAAADrzzwI=")</f>
        <v>#REF!</v>
      </c>
      <c r="D18" t="e">
        <f>AND('Pay Bill'!#REF!,"AAAAADrzzwM=")</f>
        <v>#REF!</v>
      </c>
      <c r="E18" t="e">
        <f>AND('Pay Bill'!N90,"AAAAADrzzwQ=")</f>
        <v>#VALUE!</v>
      </c>
      <c r="F18" t="e">
        <f>AND('Pay Bill'!A91,"AAAAADrzzwU=")</f>
        <v>#VALUE!</v>
      </c>
      <c r="G18" t="e">
        <f>AND('Pay Bill'!B91,"AAAAADrzzwY=")</f>
        <v>#VALUE!</v>
      </c>
      <c r="H18" t="e">
        <f>AND('Pay Bill'!C91,"AAAAADrzzwc=")</f>
        <v>#VALUE!</v>
      </c>
      <c r="I18" t="e">
        <f>AND('Pay Bill'!D91,"AAAAADrzzwg=")</f>
        <v>#VALUE!</v>
      </c>
      <c r="J18" t="e">
        <f>AND('Pay Bill'!E91,"AAAAADrzzwk=")</f>
        <v>#VALUE!</v>
      </c>
      <c r="K18" t="e">
        <f>AND('Pay Bill'!F91,"AAAAADrzzwo=")</f>
        <v>#VALUE!</v>
      </c>
      <c r="L18" t="e">
        <f>AND('Pay Bill'!G91,"AAAAADrzzws=")</f>
        <v>#VALUE!</v>
      </c>
      <c r="M18" t="e">
        <f>AND('Pay Bill'!H91,"AAAAADrzzww=")</f>
        <v>#VALUE!</v>
      </c>
      <c r="N18" t="e">
        <f>AND('Pay Bill'!I91,"AAAAADrzzw0=")</f>
        <v>#VALUE!</v>
      </c>
      <c r="O18" t="e">
        <f>AND('Pay Bill'!J91,"AAAAADrzzw4=")</f>
        <v>#VALUE!</v>
      </c>
      <c r="P18" t="e">
        <f>AND('Pay Bill'!#REF!,"AAAAADrzzw8=")</f>
        <v>#REF!</v>
      </c>
      <c r="Q18" t="e">
        <f>AND('Pay Bill'!#REF!,"AAAAADrzzxA=")</f>
        <v>#REF!</v>
      </c>
      <c r="R18" t="e">
        <f>AND('Pay Bill'!#REF!,"AAAAADrzzxE=")</f>
        <v>#REF!</v>
      </c>
      <c r="S18" t="e">
        <f>AND('Pay Bill'!K91,"AAAAADrzzxI=")</f>
        <v>#VALUE!</v>
      </c>
      <c r="T18" t="e">
        <f>AND('Pay Bill'!L91,"AAAAADrzzxM=")</f>
        <v>#VALUE!</v>
      </c>
      <c r="U18" t="e">
        <f>AND('Pay Bill'!M91,"AAAAADrzzxQ=")</f>
        <v>#VALUE!</v>
      </c>
      <c r="V18" t="e">
        <f>AND('Pay Bill'!#REF!,"AAAAADrzzxU=")</f>
        <v>#REF!</v>
      </c>
      <c r="W18" t="e">
        <f>AND('Pay Bill'!#REF!,"AAAAADrzzxY=")</f>
        <v>#REF!</v>
      </c>
      <c r="X18" t="e">
        <f>AND('Pay Bill'!#REF!,"AAAAADrzzxc=")</f>
        <v>#REF!</v>
      </c>
      <c r="Y18" t="e">
        <f>AND('Pay Bill'!#REF!,"AAAAADrzzxg=")</f>
        <v>#REF!</v>
      </c>
      <c r="Z18" t="e">
        <f>AND('Pay Bill'!N91,"AAAAADrzzxk=")</f>
        <v>#VALUE!</v>
      </c>
      <c r="AA18" t="e">
        <f>AND('Pay Bill'!A92,"AAAAADrzzxo=")</f>
        <v>#VALUE!</v>
      </c>
      <c r="AB18" t="e">
        <f>AND('Pay Bill'!B92,"AAAAADrzzxs=")</f>
        <v>#VALUE!</v>
      </c>
      <c r="AC18" t="e">
        <f>AND('Pay Bill'!C92,"AAAAADrzzxw=")</f>
        <v>#VALUE!</v>
      </c>
      <c r="AD18" t="e">
        <f>AND('Pay Bill'!D92,"AAAAADrzzx0=")</f>
        <v>#VALUE!</v>
      </c>
      <c r="AE18" t="e">
        <f>AND('Pay Bill'!E92,"AAAAADrzzx4=")</f>
        <v>#VALUE!</v>
      </c>
      <c r="AF18" t="e">
        <f>AND('Pay Bill'!F92,"AAAAADrzzx8=")</f>
        <v>#VALUE!</v>
      </c>
      <c r="AG18" t="e">
        <f>AND('Pay Bill'!G92,"AAAAADrzzyA=")</f>
        <v>#VALUE!</v>
      </c>
      <c r="AH18" t="e">
        <f>AND('Pay Bill'!H92,"AAAAADrzzyE=")</f>
        <v>#VALUE!</v>
      </c>
      <c r="AI18" t="e">
        <f>AND('Pay Bill'!I92,"AAAAADrzzyI=")</f>
        <v>#VALUE!</v>
      </c>
      <c r="AJ18" t="e">
        <f>AND('Pay Bill'!J92,"AAAAADrzzyM=")</f>
        <v>#VALUE!</v>
      </c>
      <c r="AK18" t="e">
        <f>AND('Pay Bill'!#REF!,"AAAAADrzzyQ=")</f>
        <v>#REF!</v>
      </c>
      <c r="AL18" t="e">
        <f>AND('Pay Bill'!#REF!,"AAAAADrzzyU=")</f>
        <v>#REF!</v>
      </c>
      <c r="AM18" t="e">
        <f>AND('Pay Bill'!#REF!,"AAAAADrzzyY=")</f>
        <v>#REF!</v>
      </c>
      <c r="AN18" t="e">
        <f>AND('Pay Bill'!K92,"AAAAADrzzyc=")</f>
        <v>#VALUE!</v>
      </c>
      <c r="AO18" t="e">
        <f>AND('Pay Bill'!L92,"AAAAADrzzyg=")</f>
        <v>#VALUE!</v>
      </c>
      <c r="AP18" t="e">
        <f>AND('Pay Bill'!M92,"AAAAADrzzyk=")</f>
        <v>#VALUE!</v>
      </c>
      <c r="AQ18" t="e">
        <f>AND('Pay Bill'!#REF!,"AAAAADrzzyo=")</f>
        <v>#REF!</v>
      </c>
      <c r="AR18" t="e">
        <f>AND('Pay Bill'!#REF!,"AAAAADrzzys=")</f>
        <v>#REF!</v>
      </c>
      <c r="AS18" t="e">
        <f>AND('Pay Bill'!#REF!,"AAAAADrzzyw=")</f>
        <v>#REF!</v>
      </c>
      <c r="AT18" t="e">
        <f>AND('Pay Bill'!#REF!,"AAAAADrzzy0=")</f>
        <v>#REF!</v>
      </c>
      <c r="AU18" t="e">
        <f>AND('Pay Bill'!N92,"AAAAADrzzy4=")</f>
        <v>#VALUE!</v>
      </c>
      <c r="AV18" t="e">
        <f>AND('Pay Bill'!A93,"AAAAADrzzy8=")</f>
        <v>#VALUE!</v>
      </c>
      <c r="AW18" t="e">
        <f>AND('Pay Bill'!B93,"AAAAADrzzzA=")</f>
        <v>#VALUE!</v>
      </c>
      <c r="AX18" t="e">
        <f>AND('Pay Bill'!C93,"AAAAADrzzzE=")</f>
        <v>#VALUE!</v>
      </c>
      <c r="AY18" t="e">
        <f>AND('Pay Bill'!D93,"AAAAADrzzzI=")</f>
        <v>#VALUE!</v>
      </c>
      <c r="AZ18" t="e">
        <f>AND('Pay Bill'!E93,"AAAAADrzzzM=")</f>
        <v>#VALUE!</v>
      </c>
      <c r="BA18" t="e">
        <f>AND('Pay Bill'!F93,"AAAAADrzzzQ=")</f>
        <v>#VALUE!</v>
      </c>
      <c r="BB18" t="e">
        <f>AND('Pay Bill'!G93,"AAAAADrzzzU=")</f>
        <v>#VALUE!</v>
      </c>
      <c r="BC18" t="e">
        <f>AND('Pay Bill'!H93,"AAAAADrzzzY=")</f>
        <v>#VALUE!</v>
      </c>
      <c r="BD18" t="e">
        <f>AND('Pay Bill'!I93,"AAAAADrzzzc=")</f>
        <v>#VALUE!</v>
      </c>
      <c r="BE18" t="e">
        <f>AND('Pay Bill'!J93,"AAAAADrzzzg=")</f>
        <v>#VALUE!</v>
      </c>
      <c r="BF18" t="e">
        <f>AND('Pay Bill'!#REF!,"AAAAADrzzzk=")</f>
        <v>#REF!</v>
      </c>
      <c r="BG18" t="e">
        <f>AND('Pay Bill'!#REF!,"AAAAADrzzzo=")</f>
        <v>#REF!</v>
      </c>
      <c r="BH18" t="e">
        <f>AND('Pay Bill'!#REF!,"AAAAADrzzzs=")</f>
        <v>#REF!</v>
      </c>
      <c r="BI18" t="e">
        <f>AND('Pay Bill'!K93,"AAAAADrzzzw=")</f>
        <v>#VALUE!</v>
      </c>
      <c r="BJ18" t="e">
        <f>AND('Pay Bill'!L93,"AAAAADrzzz0=")</f>
        <v>#VALUE!</v>
      </c>
      <c r="BK18" t="e">
        <f>AND('Pay Bill'!M93,"AAAAADrzzz4=")</f>
        <v>#VALUE!</v>
      </c>
      <c r="BL18" t="e">
        <f>AND('Pay Bill'!#REF!,"AAAAADrzzz8=")</f>
        <v>#REF!</v>
      </c>
      <c r="BM18" t="e">
        <f>AND('Pay Bill'!#REF!,"AAAAADrzz0A=")</f>
        <v>#REF!</v>
      </c>
      <c r="BN18" t="e">
        <f>AND('Pay Bill'!#REF!,"AAAAADrzz0E=")</f>
        <v>#REF!</v>
      </c>
      <c r="BO18" t="e">
        <f>AND('Pay Bill'!#REF!,"AAAAADrzz0I=")</f>
        <v>#REF!</v>
      </c>
      <c r="BP18" t="e">
        <f>AND('Pay Bill'!N93,"AAAAADrzz0M=")</f>
        <v>#VALUE!</v>
      </c>
      <c r="BQ18" t="e">
        <f>AND('Pay Bill'!A94,"AAAAADrzz0Q=")</f>
        <v>#VALUE!</v>
      </c>
      <c r="BR18" t="e">
        <f>AND('Pay Bill'!B94,"AAAAADrzz0U=")</f>
        <v>#VALUE!</v>
      </c>
      <c r="BS18" t="e">
        <f>AND('Pay Bill'!C94,"AAAAADrzz0Y=")</f>
        <v>#VALUE!</v>
      </c>
      <c r="BT18" t="e">
        <f>AND('Pay Bill'!D94,"AAAAADrzz0c=")</f>
        <v>#VALUE!</v>
      </c>
      <c r="BU18" t="e">
        <f>AND('Pay Bill'!E94,"AAAAADrzz0g=")</f>
        <v>#VALUE!</v>
      </c>
      <c r="BV18" t="e">
        <f>AND('Pay Bill'!F94,"AAAAADrzz0k=")</f>
        <v>#VALUE!</v>
      </c>
      <c r="BW18" t="e">
        <f>AND('Pay Bill'!G94,"AAAAADrzz0o=")</f>
        <v>#VALUE!</v>
      </c>
      <c r="BX18" t="e">
        <f>AND('Pay Bill'!H94,"AAAAADrzz0s=")</f>
        <v>#VALUE!</v>
      </c>
      <c r="BY18" t="e">
        <f>AND('Pay Bill'!I94,"AAAAADrzz0w=")</f>
        <v>#VALUE!</v>
      </c>
      <c r="BZ18" t="e">
        <f>AND('Pay Bill'!J94,"AAAAADrzz00=")</f>
        <v>#VALUE!</v>
      </c>
      <c r="CA18" t="e">
        <f>AND('Pay Bill'!#REF!,"AAAAADrzz04=")</f>
        <v>#REF!</v>
      </c>
      <c r="CB18" t="e">
        <f>AND('Pay Bill'!#REF!,"AAAAADrzz08=")</f>
        <v>#REF!</v>
      </c>
      <c r="CC18" t="e">
        <f>AND('Pay Bill'!#REF!,"AAAAADrzz1A=")</f>
        <v>#REF!</v>
      </c>
      <c r="CD18" t="e">
        <f>AND('Pay Bill'!K94,"AAAAADrzz1E=")</f>
        <v>#VALUE!</v>
      </c>
      <c r="CE18" t="e">
        <f>AND('Pay Bill'!L94,"AAAAADrzz1I=")</f>
        <v>#VALUE!</v>
      </c>
      <c r="CF18" t="e">
        <f>AND('Pay Bill'!M94,"AAAAADrzz1M=")</f>
        <v>#VALUE!</v>
      </c>
      <c r="CG18" t="e">
        <f>AND('Pay Bill'!#REF!,"AAAAADrzz1Q=")</f>
        <v>#REF!</v>
      </c>
      <c r="CH18" t="e">
        <f>AND('Pay Bill'!#REF!,"AAAAADrzz1U=")</f>
        <v>#REF!</v>
      </c>
      <c r="CI18" t="e">
        <f>AND('Pay Bill'!#REF!,"AAAAADrzz1Y=")</f>
        <v>#REF!</v>
      </c>
      <c r="CJ18" t="e">
        <f>AND('Pay Bill'!#REF!,"AAAAADrzz1c=")</f>
        <v>#REF!</v>
      </c>
      <c r="CK18" t="e">
        <f>AND('Pay Bill'!N94,"AAAAADrzz1g=")</f>
        <v>#VALUE!</v>
      </c>
      <c r="CL18" t="e">
        <f>AND('Pay Bill'!A95,"AAAAADrzz1k=")</f>
        <v>#VALUE!</v>
      </c>
      <c r="CM18" t="e">
        <f>AND('Pay Bill'!B95,"AAAAADrzz1o=")</f>
        <v>#VALUE!</v>
      </c>
      <c r="CN18" t="e">
        <f>AND('Pay Bill'!C95,"AAAAADrzz1s=")</f>
        <v>#VALUE!</v>
      </c>
      <c r="CO18" t="e">
        <f>AND('Pay Bill'!D95,"AAAAADrzz1w=")</f>
        <v>#VALUE!</v>
      </c>
      <c r="CP18" t="e">
        <f>AND('Pay Bill'!E95,"AAAAADrzz10=")</f>
        <v>#VALUE!</v>
      </c>
      <c r="CQ18" t="e">
        <f>AND('Pay Bill'!F95,"AAAAADrzz14=")</f>
        <v>#VALUE!</v>
      </c>
      <c r="CR18" t="e">
        <f>AND('Pay Bill'!G95,"AAAAADrzz18=")</f>
        <v>#VALUE!</v>
      </c>
      <c r="CS18" t="e">
        <f>AND('Pay Bill'!H95,"AAAAADrzz2A=")</f>
        <v>#VALUE!</v>
      </c>
      <c r="CT18" t="e">
        <f>AND('Pay Bill'!I95,"AAAAADrzz2E=")</f>
        <v>#VALUE!</v>
      </c>
      <c r="CU18" t="e">
        <f>AND('Pay Bill'!J95,"AAAAADrzz2I=")</f>
        <v>#VALUE!</v>
      </c>
      <c r="CV18" t="e">
        <f>AND('Pay Bill'!#REF!,"AAAAADrzz2M=")</f>
        <v>#REF!</v>
      </c>
      <c r="CW18" t="e">
        <f>AND('Pay Bill'!#REF!,"AAAAADrzz2Q=")</f>
        <v>#REF!</v>
      </c>
      <c r="CX18" t="e">
        <f>AND('Pay Bill'!#REF!,"AAAAADrzz2U=")</f>
        <v>#REF!</v>
      </c>
      <c r="CY18" t="e">
        <f>AND('Pay Bill'!K95,"AAAAADrzz2Y=")</f>
        <v>#VALUE!</v>
      </c>
      <c r="CZ18" t="e">
        <f>AND('Pay Bill'!L95,"AAAAADrzz2c=")</f>
        <v>#VALUE!</v>
      </c>
      <c r="DA18" t="e">
        <f>AND('Pay Bill'!M95,"AAAAADrzz2g=")</f>
        <v>#VALUE!</v>
      </c>
      <c r="DB18" t="e">
        <f>AND('Pay Bill'!#REF!,"AAAAADrzz2k=")</f>
        <v>#REF!</v>
      </c>
      <c r="DC18" t="e">
        <f>AND('Pay Bill'!#REF!,"AAAAADrzz2o=")</f>
        <v>#REF!</v>
      </c>
      <c r="DD18" t="e">
        <f>AND('Pay Bill'!#REF!,"AAAAADrzz2s=")</f>
        <v>#REF!</v>
      </c>
      <c r="DE18" t="e">
        <f>AND('Pay Bill'!#REF!,"AAAAADrzz2w=")</f>
        <v>#REF!</v>
      </c>
      <c r="DF18" t="e">
        <f>AND('Pay Bill'!N95,"AAAAADrzz20=")</f>
        <v>#VALUE!</v>
      </c>
      <c r="DG18" t="e">
        <f>AND('Pay Bill'!A96,"AAAAADrzz24=")</f>
        <v>#VALUE!</v>
      </c>
      <c r="DH18" t="e">
        <f>AND('Pay Bill'!B96,"AAAAADrzz28=")</f>
        <v>#VALUE!</v>
      </c>
      <c r="DI18" t="e">
        <f>AND('Pay Bill'!C96,"AAAAADrzz3A=")</f>
        <v>#VALUE!</v>
      </c>
      <c r="DJ18" t="e">
        <f>AND('Pay Bill'!D96,"AAAAADrzz3E=")</f>
        <v>#VALUE!</v>
      </c>
      <c r="DK18" t="e">
        <f>AND('Pay Bill'!E96,"AAAAADrzz3I=")</f>
        <v>#VALUE!</v>
      </c>
      <c r="DL18" t="e">
        <f>AND('Pay Bill'!F96,"AAAAADrzz3M=")</f>
        <v>#VALUE!</v>
      </c>
      <c r="DM18" t="e">
        <f>AND('Pay Bill'!G96,"AAAAADrzz3Q=")</f>
        <v>#VALUE!</v>
      </c>
      <c r="DN18" t="e">
        <f>AND('Pay Bill'!H96,"AAAAADrzz3U=")</f>
        <v>#VALUE!</v>
      </c>
      <c r="DO18" t="e">
        <f>AND('Pay Bill'!I96,"AAAAADrzz3Y=")</f>
        <v>#VALUE!</v>
      </c>
      <c r="DP18" t="e">
        <f>AND('Pay Bill'!J96,"AAAAADrzz3c=")</f>
        <v>#VALUE!</v>
      </c>
      <c r="DQ18" t="e">
        <f>AND('Pay Bill'!#REF!,"AAAAADrzz3g=")</f>
        <v>#REF!</v>
      </c>
      <c r="DR18" t="e">
        <f>AND('Pay Bill'!#REF!,"AAAAADrzz3k=")</f>
        <v>#REF!</v>
      </c>
      <c r="DS18" t="e">
        <f>AND('Pay Bill'!#REF!,"AAAAADrzz3o=")</f>
        <v>#REF!</v>
      </c>
      <c r="DT18" t="e">
        <f>AND('Pay Bill'!K96,"AAAAADrzz3s=")</f>
        <v>#VALUE!</v>
      </c>
      <c r="DU18" t="e">
        <f>AND('Pay Bill'!L96,"AAAAADrzz3w=")</f>
        <v>#VALUE!</v>
      </c>
      <c r="DV18" t="e">
        <f>AND('Pay Bill'!M96,"AAAAADrzz30=")</f>
        <v>#VALUE!</v>
      </c>
      <c r="DW18" t="e">
        <f>AND('Pay Bill'!#REF!,"AAAAADrzz34=")</f>
        <v>#REF!</v>
      </c>
      <c r="DX18" t="e">
        <f>AND('Pay Bill'!#REF!,"AAAAADrzz38=")</f>
        <v>#REF!</v>
      </c>
      <c r="DY18" t="e">
        <f>AND('Pay Bill'!#REF!,"AAAAADrzz4A=")</f>
        <v>#REF!</v>
      </c>
      <c r="DZ18" t="e">
        <f>AND('Pay Bill'!#REF!,"AAAAADrzz4E=")</f>
        <v>#REF!</v>
      </c>
      <c r="EA18" t="e">
        <f>AND('Pay Bill'!N96,"AAAAADrzz4I=")</f>
        <v>#VALUE!</v>
      </c>
      <c r="EB18" t="e">
        <f>AND('Pay Bill'!A97,"AAAAADrzz4M=")</f>
        <v>#VALUE!</v>
      </c>
      <c r="EC18" t="e">
        <f>AND('Pay Bill'!B97,"AAAAADrzz4Q=")</f>
        <v>#VALUE!</v>
      </c>
      <c r="ED18" t="e">
        <f>AND('Pay Bill'!C97,"AAAAADrzz4U=")</f>
        <v>#VALUE!</v>
      </c>
      <c r="EE18" t="e">
        <f>AND('Pay Bill'!D97,"AAAAADrzz4Y=")</f>
        <v>#VALUE!</v>
      </c>
      <c r="EF18" t="e">
        <f>AND('Pay Bill'!E97,"AAAAADrzz4c=")</f>
        <v>#VALUE!</v>
      </c>
      <c r="EG18" t="e">
        <f>AND('Pay Bill'!F97,"AAAAADrzz4g=")</f>
        <v>#VALUE!</v>
      </c>
      <c r="EH18" t="e">
        <f>AND('Pay Bill'!G97,"AAAAADrzz4k=")</f>
        <v>#VALUE!</v>
      </c>
      <c r="EI18" t="e">
        <f>AND('Pay Bill'!H97,"AAAAADrzz4o=")</f>
        <v>#VALUE!</v>
      </c>
      <c r="EJ18" t="e">
        <f>AND('Pay Bill'!I97,"AAAAADrzz4s=")</f>
        <v>#VALUE!</v>
      </c>
      <c r="EK18" t="e">
        <f>AND('Pay Bill'!J97,"AAAAADrzz4w=")</f>
        <v>#VALUE!</v>
      </c>
      <c r="EL18" t="e">
        <f>AND('Pay Bill'!#REF!,"AAAAADrzz40=")</f>
        <v>#REF!</v>
      </c>
      <c r="EM18" t="e">
        <f>AND('Pay Bill'!#REF!,"AAAAADrzz44=")</f>
        <v>#REF!</v>
      </c>
      <c r="EN18" t="e">
        <f>AND('Pay Bill'!#REF!,"AAAAADrzz48=")</f>
        <v>#REF!</v>
      </c>
      <c r="EO18" t="e">
        <f>AND('Pay Bill'!K97,"AAAAADrzz5A=")</f>
        <v>#VALUE!</v>
      </c>
      <c r="EP18" t="e">
        <f>AND('Pay Bill'!L97,"AAAAADrzz5E=")</f>
        <v>#VALUE!</v>
      </c>
      <c r="EQ18" t="e">
        <f>AND('Pay Bill'!M97,"AAAAADrzz5I=")</f>
        <v>#VALUE!</v>
      </c>
      <c r="ER18" t="e">
        <f>AND('Pay Bill'!#REF!,"AAAAADrzz5M=")</f>
        <v>#REF!</v>
      </c>
      <c r="ES18" t="e">
        <f>AND('Pay Bill'!#REF!,"AAAAADrzz5Q=")</f>
        <v>#REF!</v>
      </c>
      <c r="ET18" t="e">
        <f>AND('Pay Bill'!#REF!,"AAAAADrzz5U=")</f>
        <v>#REF!</v>
      </c>
      <c r="EU18" t="e">
        <f>AND('Pay Bill'!#REF!,"AAAAADrzz5Y=")</f>
        <v>#REF!</v>
      </c>
      <c r="EV18" t="e">
        <f>AND('Pay Bill'!N97,"AAAAADrzz5c=")</f>
        <v>#VALUE!</v>
      </c>
      <c r="EW18" t="e">
        <f>AND('Pay Bill'!A98,"AAAAADrzz5g=")</f>
        <v>#VALUE!</v>
      </c>
      <c r="EX18" t="e">
        <f>AND('Pay Bill'!B98,"AAAAADrzz5k=")</f>
        <v>#VALUE!</v>
      </c>
      <c r="EY18" t="e">
        <f>AND('Pay Bill'!C98,"AAAAADrzz5o=")</f>
        <v>#VALUE!</v>
      </c>
      <c r="EZ18" t="e">
        <f>AND('Pay Bill'!D98,"AAAAADrzz5s=")</f>
        <v>#VALUE!</v>
      </c>
      <c r="FA18" t="e">
        <f>AND('Pay Bill'!E98,"AAAAADrzz5w=")</f>
        <v>#VALUE!</v>
      </c>
      <c r="FB18" t="e">
        <f>AND('Pay Bill'!F98,"AAAAADrzz50=")</f>
        <v>#VALUE!</v>
      </c>
      <c r="FC18" t="e">
        <f>AND('Pay Bill'!G98,"AAAAADrzz54=")</f>
        <v>#VALUE!</v>
      </c>
      <c r="FD18" t="e">
        <f>AND('Pay Bill'!H98,"AAAAADrzz58=")</f>
        <v>#VALUE!</v>
      </c>
      <c r="FE18" t="e">
        <f>AND('Pay Bill'!I98,"AAAAADrzz6A=")</f>
        <v>#VALUE!</v>
      </c>
      <c r="FF18" t="e">
        <f>AND('Pay Bill'!J98,"AAAAADrzz6E=")</f>
        <v>#VALUE!</v>
      </c>
      <c r="FG18" t="e">
        <f>AND('Pay Bill'!#REF!,"AAAAADrzz6I=")</f>
        <v>#REF!</v>
      </c>
      <c r="FH18" t="e">
        <f>AND('Pay Bill'!#REF!,"AAAAADrzz6M=")</f>
        <v>#REF!</v>
      </c>
      <c r="FI18" t="e">
        <f>AND('Pay Bill'!#REF!,"AAAAADrzz6Q=")</f>
        <v>#REF!</v>
      </c>
      <c r="FJ18" t="e">
        <f>AND('Pay Bill'!K98,"AAAAADrzz6U=")</f>
        <v>#VALUE!</v>
      </c>
      <c r="FK18" t="e">
        <f>AND('Pay Bill'!L98,"AAAAADrzz6Y=")</f>
        <v>#VALUE!</v>
      </c>
      <c r="FL18" t="e">
        <f>AND('Pay Bill'!M98,"AAAAADrzz6c=")</f>
        <v>#VALUE!</v>
      </c>
      <c r="FM18" t="e">
        <f>AND('Pay Bill'!#REF!,"AAAAADrzz6g=")</f>
        <v>#REF!</v>
      </c>
      <c r="FN18" t="e">
        <f>AND('Pay Bill'!#REF!,"AAAAADrzz6k=")</f>
        <v>#REF!</v>
      </c>
      <c r="FO18" t="e">
        <f>AND('Pay Bill'!#REF!,"AAAAADrzz6o=")</f>
        <v>#REF!</v>
      </c>
      <c r="FP18" t="e">
        <f>AND('Pay Bill'!#REF!,"AAAAADrzz6s=")</f>
        <v>#REF!</v>
      </c>
      <c r="FQ18" t="e">
        <f>AND('Pay Bill'!N98,"AAAAADrzz6w=")</f>
        <v>#VALUE!</v>
      </c>
      <c r="FR18" t="e">
        <f>AND('Pay Bill'!A99,"AAAAADrzz60=")</f>
        <v>#VALUE!</v>
      </c>
      <c r="FS18" t="e">
        <f>AND('Pay Bill'!B99,"AAAAADrzz64=")</f>
        <v>#VALUE!</v>
      </c>
      <c r="FT18" t="e">
        <f>AND('Pay Bill'!C99,"AAAAADrzz68=")</f>
        <v>#VALUE!</v>
      </c>
      <c r="FU18" t="e">
        <f>AND('Pay Bill'!D99,"AAAAADrzz7A=")</f>
        <v>#VALUE!</v>
      </c>
      <c r="FV18" t="e">
        <f>AND('Pay Bill'!E99,"AAAAADrzz7E=")</f>
        <v>#VALUE!</v>
      </c>
      <c r="FW18" t="e">
        <f>AND('Pay Bill'!F99,"AAAAADrzz7I=")</f>
        <v>#VALUE!</v>
      </c>
      <c r="FX18" t="e">
        <f>AND('Pay Bill'!G99,"AAAAADrzz7M=")</f>
        <v>#VALUE!</v>
      </c>
      <c r="FY18" t="e">
        <f>AND('Pay Bill'!H99,"AAAAADrzz7Q=")</f>
        <v>#VALUE!</v>
      </c>
      <c r="FZ18" t="e">
        <f>AND('Pay Bill'!I99,"AAAAADrzz7U=")</f>
        <v>#VALUE!</v>
      </c>
      <c r="GA18" t="e">
        <f>AND('Pay Bill'!J99,"AAAAADrzz7Y=")</f>
        <v>#VALUE!</v>
      </c>
      <c r="GB18" t="e">
        <f>AND('Pay Bill'!#REF!,"AAAAADrzz7c=")</f>
        <v>#REF!</v>
      </c>
      <c r="GC18" t="e">
        <f>AND('Pay Bill'!#REF!,"AAAAADrzz7g=")</f>
        <v>#REF!</v>
      </c>
      <c r="GD18" t="e">
        <f>AND('Pay Bill'!#REF!,"AAAAADrzz7k=")</f>
        <v>#REF!</v>
      </c>
      <c r="GE18" t="e">
        <f>AND('Pay Bill'!K99,"AAAAADrzz7o=")</f>
        <v>#VALUE!</v>
      </c>
      <c r="GF18" t="e">
        <f>AND('Pay Bill'!L99,"AAAAADrzz7s=")</f>
        <v>#VALUE!</v>
      </c>
      <c r="GG18" t="e">
        <f>AND('Pay Bill'!M99,"AAAAADrzz7w=")</f>
        <v>#VALUE!</v>
      </c>
      <c r="GH18" t="e">
        <f>AND('Pay Bill'!#REF!,"AAAAADrzz70=")</f>
        <v>#REF!</v>
      </c>
      <c r="GI18" t="e">
        <f>AND('Pay Bill'!#REF!,"AAAAADrzz74=")</f>
        <v>#REF!</v>
      </c>
      <c r="GJ18" t="e">
        <f>AND('Pay Bill'!#REF!,"AAAAADrzz78=")</f>
        <v>#REF!</v>
      </c>
      <c r="GK18" t="e">
        <f>AND('Pay Bill'!#REF!,"AAAAADrzz8A=")</f>
        <v>#REF!</v>
      </c>
      <c r="GL18" t="e">
        <f>AND('Pay Bill'!N99,"AAAAADrzz8E=")</f>
        <v>#VALUE!</v>
      </c>
      <c r="GM18" t="e">
        <f>AND('Pay Bill'!A100,"AAAAADrzz8I=")</f>
        <v>#VALUE!</v>
      </c>
      <c r="GN18" t="e">
        <f>AND('Pay Bill'!B100,"AAAAADrzz8M=")</f>
        <v>#VALUE!</v>
      </c>
      <c r="GO18" t="e">
        <f>AND('Pay Bill'!C100,"AAAAADrzz8Q=")</f>
        <v>#VALUE!</v>
      </c>
      <c r="GP18" t="e">
        <f>AND('Pay Bill'!D100,"AAAAADrzz8U=")</f>
        <v>#VALUE!</v>
      </c>
      <c r="GQ18" t="e">
        <f>AND('Pay Bill'!E100,"AAAAADrzz8Y=")</f>
        <v>#VALUE!</v>
      </c>
      <c r="GR18" t="e">
        <f>AND('Pay Bill'!F100,"AAAAADrzz8c=")</f>
        <v>#VALUE!</v>
      </c>
      <c r="GS18" t="e">
        <f>AND('Pay Bill'!G100,"AAAAADrzz8g=")</f>
        <v>#VALUE!</v>
      </c>
      <c r="GT18" t="e">
        <f>AND('Pay Bill'!H100,"AAAAADrzz8k=")</f>
        <v>#VALUE!</v>
      </c>
      <c r="GU18" t="e">
        <f>AND('Pay Bill'!I100,"AAAAADrzz8o=")</f>
        <v>#VALUE!</v>
      </c>
      <c r="GV18" t="e">
        <f>AND('Pay Bill'!J100,"AAAAADrzz8s=")</f>
        <v>#VALUE!</v>
      </c>
      <c r="GW18" t="e">
        <f>AND('Pay Bill'!#REF!,"AAAAADrzz8w=")</f>
        <v>#REF!</v>
      </c>
      <c r="GX18" t="e">
        <f>AND('Pay Bill'!#REF!,"AAAAADrzz80=")</f>
        <v>#REF!</v>
      </c>
      <c r="GY18" t="e">
        <f>AND('Pay Bill'!#REF!,"AAAAADrzz84=")</f>
        <v>#REF!</v>
      </c>
      <c r="GZ18" t="e">
        <f>AND('Pay Bill'!K100,"AAAAADrzz88=")</f>
        <v>#VALUE!</v>
      </c>
      <c r="HA18" t="e">
        <f>AND('Pay Bill'!L100,"AAAAADrzz9A=")</f>
        <v>#VALUE!</v>
      </c>
      <c r="HB18" t="e">
        <f>AND('Pay Bill'!M100,"AAAAADrzz9E=")</f>
        <v>#VALUE!</v>
      </c>
      <c r="HC18" t="e">
        <f>AND('Pay Bill'!#REF!,"AAAAADrzz9I=")</f>
        <v>#REF!</v>
      </c>
      <c r="HD18" t="e">
        <f>AND('Pay Bill'!#REF!,"AAAAADrzz9M=")</f>
        <v>#REF!</v>
      </c>
      <c r="HE18" t="e">
        <f>AND('Pay Bill'!#REF!,"AAAAADrzz9Q=")</f>
        <v>#REF!</v>
      </c>
      <c r="HF18" t="e">
        <f>AND('Pay Bill'!#REF!,"AAAAADrzz9U=")</f>
        <v>#REF!</v>
      </c>
      <c r="HG18" t="e">
        <f>AND('Pay Bill'!N100,"AAAAADrzz9Y=")</f>
        <v>#VALUE!</v>
      </c>
      <c r="HH18" t="e">
        <f>AND('Pay Bill'!A101,"AAAAADrzz9c=")</f>
        <v>#VALUE!</v>
      </c>
      <c r="HI18" t="e">
        <f>AND('Pay Bill'!B101,"AAAAADrzz9g=")</f>
        <v>#VALUE!</v>
      </c>
      <c r="HJ18" t="e">
        <f>AND('Pay Bill'!C101,"AAAAADrzz9k=")</f>
        <v>#VALUE!</v>
      </c>
      <c r="HK18" t="e">
        <f>AND('Pay Bill'!D101,"AAAAADrzz9o=")</f>
        <v>#VALUE!</v>
      </c>
      <c r="HL18" t="e">
        <f>AND('Pay Bill'!E101,"AAAAADrzz9s=")</f>
        <v>#VALUE!</v>
      </c>
      <c r="HM18" t="e">
        <f>AND('Pay Bill'!F101,"AAAAADrzz9w=")</f>
        <v>#VALUE!</v>
      </c>
      <c r="HN18" t="e">
        <f>AND('Pay Bill'!G101,"AAAAADrzz90=")</f>
        <v>#VALUE!</v>
      </c>
      <c r="HO18" t="e">
        <f>AND('Pay Bill'!H101,"AAAAADrzz94=")</f>
        <v>#VALUE!</v>
      </c>
      <c r="HP18" t="e">
        <f>AND('Pay Bill'!I101,"AAAAADrzz98=")</f>
        <v>#VALUE!</v>
      </c>
      <c r="HQ18" t="e">
        <f>AND('Pay Bill'!J101,"AAAAADrzz+A=")</f>
        <v>#VALUE!</v>
      </c>
      <c r="HR18" t="e">
        <f>AND('Pay Bill'!#REF!,"AAAAADrzz+E=")</f>
        <v>#REF!</v>
      </c>
      <c r="HS18" t="e">
        <f>AND('Pay Bill'!#REF!,"AAAAADrzz+I=")</f>
        <v>#REF!</v>
      </c>
      <c r="HT18" t="e">
        <f>AND('Pay Bill'!#REF!,"AAAAADrzz+M=")</f>
        <v>#REF!</v>
      </c>
      <c r="HU18" t="e">
        <f>AND('Pay Bill'!K101,"AAAAADrzz+Q=")</f>
        <v>#VALUE!</v>
      </c>
      <c r="HV18" t="e">
        <f>AND('Pay Bill'!L101,"AAAAADrzz+U=")</f>
        <v>#VALUE!</v>
      </c>
      <c r="HW18" t="e">
        <f>AND('Pay Bill'!M101,"AAAAADrzz+Y=")</f>
        <v>#VALUE!</v>
      </c>
      <c r="HX18" t="e">
        <f>AND('Pay Bill'!#REF!,"AAAAADrzz+c=")</f>
        <v>#REF!</v>
      </c>
      <c r="HY18" t="e">
        <f>AND('Pay Bill'!#REF!,"AAAAADrzz+g=")</f>
        <v>#REF!</v>
      </c>
      <c r="HZ18" t="e">
        <f>AND('Pay Bill'!#REF!,"AAAAADrzz+k=")</f>
        <v>#REF!</v>
      </c>
      <c r="IA18" t="e">
        <f>AND('Pay Bill'!#REF!,"AAAAADrzz+o=")</f>
        <v>#REF!</v>
      </c>
      <c r="IB18" t="e">
        <f>AND('Pay Bill'!N101,"AAAAADrzz+s=")</f>
        <v>#VALUE!</v>
      </c>
      <c r="IC18" t="e">
        <f>AND('Pay Bill'!A102,"AAAAADrzz+w=")</f>
        <v>#VALUE!</v>
      </c>
      <c r="ID18" t="e">
        <f>AND('Pay Bill'!B102,"AAAAADrzz+0=")</f>
        <v>#VALUE!</v>
      </c>
      <c r="IE18" t="e">
        <f>AND('Pay Bill'!C102,"AAAAADrzz+4=")</f>
        <v>#VALUE!</v>
      </c>
      <c r="IF18" t="e">
        <f>AND('Pay Bill'!D102,"AAAAADrzz+8=")</f>
        <v>#VALUE!</v>
      </c>
      <c r="IG18" t="e">
        <f>AND('Pay Bill'!E102,"AAAAADrzz/A=")</f>
        <v>#VALUE!</v>
      </c>
      <c r="IH18" t="e">
        <f>AND('Pay Bill'!F102,"AAAAADrzz/E=")</f>
        <v>#VALUE!</v>
      </c>
      <c r="II18" t="e">
        <f>AND('Pay Bill'!G102,"AAAAADrzz/I=")</f>
        <v>#VALUE!</v>
      </c>
      <c r="IJ18" t="e">
        <f>AND('Pay Bill'!H102,"AAAAADrzz/M=")</f>
        <v>#VALUE!</v>
      </c>
      <c r="IK18" t="e">
        <f>AND('Pay Bill'!I102,"AAAAADrzz/Q=")</f>
        <v>#VALUE!</v>
      </c>
      <c r="IL18" t="e">
        <f>AND('Pay Bill'!J102,"AAAAADrzz/U=")</f>
        <v>#VALUE!</v>
      </c>
      <c r="IM18" t="e">
        <f>AND('Pay Bill'!#REF!,"AAAAADrzz/Y=")</f>
        <v>#REF!</v>
      </c>
      <c r="IN18" t="e">
        <f>AND('Pay Bill'!#REF!,"AAAAADrzz/c=")</f>
        <v>#REF!</v>
      </c>
      <c r="IO18" t="e">
        <f>AND('Pay Bill'!#REF!,"AAAAADrzz/g=")</f>
        <v>#REF!</v>
      </c>
      <c r="IP18" t="e">
        <f>AND('Pay Bill'!K102,"AAAAADrzz/k=")</f>
        <v>#VALUE!</v>
      </c>
      <c r="IQ18" t="e">
        <f>AND('Pay Bill'!L102,"AAAAADrzz/o=")</f>
        <v>#VALUE!</v>
      </c>
      <c r="IR18" t="e">
        <f>AND('Pay Bill'!M102,"AAAAADrzz/s=")</f>
        <v>#VALUE!</v>
      </c>
      <c r="IS18" t="e">
        <f>AND('Pay Bill'!#REF!,"AAAAADrzz/w=")</f>
        <v>#REF!</v>
      </c>
      <c r="IT18" t="e">
        <f>AND('Pay Bill'!#REF!,"AAAAADrzz/0=")</f>
        <v>#REF!</v>
      </c>
      <c r="IU18" t="e">
        <f>AND('Pay Bill'!#REF!,"AAAAADrzz/4=")</f>
        <v>#REF!</v>
      </c>
      <c r="IV18" t="e">
        <f>AND('Pay Bill'!#REF!,"AAAAADrzz/8=")</f>
        <v>#REF!</v>
      </c>
    </row>
    <row r="19" spans="1:256" x14ac:dyDescent="0.25">
      <c r="A19" t="e">
        <f>AND('Pay Bill'!N102,"AAAAADe+NwA=")</f>
        <v>#VALUE!</v>
      </c>
      <c r="B19" t="e">
        <f>AND('Pay Bill'!A103,"AAAAADe+NwE=")</f>
        <v>#VALUE!</v>
      </c>
      <c r="C19" t="e">
        <f>AND('Pay Bill'!B103,"AAAAADe+NwI=")</f>
        <v>#VALUE!</v>
      </c>
      <c r="D19" t="e">
        <f>AND('Pay Bill'!C103,"AAAAADe+NwM=")</f>
        <v>#VALUE!</v>
      </c>
      <c r="E19" t="e">
        <f>AND('Pay Bill'!D103,"AAAAADe+NwQ=")</f>
        <v>#VALUE!</v>
      </c>
      <c r="F19" t="e">
        <f>AND('Pay Bill'!E103,"AAAAADe+NwU=")</f>
        <v>#VALUE!</v>
      </c>
      <c r="G19" t="e">
        <f>AND('Pay Bill'!F103,"AAAAADe+NwY=")</f>
        <v>#VALUE!</v>
      </c>
      <c r="H19" t="e">
        <f>AND('Pay Bill'!G103,"AAAAADe+Nwc=")</f>
        <v>#VALUE!</v>
      </c>
      <c r="I19" t="e">
        <f>AND('Pay Bill'!H103,"AAAAADe+Nwg=")</f>
        <v>#VALUE!</v>
      </c>
      <c r="J19" t="e">
        <f>AND('Pay Bill'!I103,"AAAAADe+Nwk=")</f>
        <v>#VALUE!</v>
      </c>
      <c r="K19" t="e">
        <f>AND('Pay Bill'!J103,"AAAAADe+Nwo=")</f>
        <v>#VALUE!</v>
      </c>
      <c r="L19" t="e">
        <f>AND('Pay Bill'!#REF!,"AAAAADe+Nws=")</f>
        <v>#REF!</v>
      </c>
      <c r="M19" t="e">
        <f>AND('Pay Bill'!#REF!,"AAAAADe+Nww=")</f>
        <v>#REF!</v>
      </c>
      <c r="N19" t="e">
        <f>AND('Pay Bill'!#REF!,"AAAAADe+Nw0=")</f>
        <v>#REF!</v>
      </c>
      <c r="O19" t="e">
        <f>AND('Pay Bill'!K103,"AAAAADe+Nw4=")</f>
        <v>#VALUE!</v>
      </c>
      <c r="P19" t="e">
        <f>AND('Pay Bill'!L103,"AAAAADe+Nw8=")</f>
        <v>#VALUE!</v>
      </c>
      <c r="Q19" t="e">
        <f>AND('Pay Bill'!M103,"AAAAADe+NxA=")</f>
        <v>#VALUE!</v>
      </c>
      <c r="R19" t="e">
        <f>AND('Pay Bill'!#REF!,"AAAAADe+NxE=")</f>
        <v>#REF!</v>
      </c>
      <c r="S19" t="e">
        <f>AND('Pay Bill'!#REF!,"AAAAADe+NxI=")</f>
        <v>#REF!</v>
      </c>
      <c r="T19" t="e">
        <f>AND('Pay Bill'!#REF!,"AAAAADe+NxM=")</f>
        <v>#REF!</v>
      </c>
      <c r="U19" t="e">
        <f>AND('Pay Bill'!#REF!,"AAAAADe+NxQ=")</f>
        <v>#REF!</v>
      </c>
      <c r="V19" t="e">
        <f>AND('Pay Bill'!N103,"AAAAADe+NxU=")</f>
        <v>#VALUE!</v>
      </c>
      <c r="W19" t="e">
        <f>AND('Pay Bill'!A104,"AAAAADe+NxY=")</f>
        <v>#VALUE!</v>
      </c>
      <c r="X19" t="e">
        <f>AND('Pay Bill'!B104,"AAAAADe+Nxc=")</f>
        <v>#VALUE!</v>
      </c>
      <c r="Y19" t="e">
        <f>AND('Pay Bill'!C104,"AAAAADe+Nxg=")</f>
        <v>#VALUE!</v>
      </c>
      <c r="Z19" t="e">
        <f>AND('Pay Bill'!D104,"AAAAADe+Nxk=")</f>
        <v>#VALUE!</v>
      </c>
      <c r="AA19" t="e">
        <f>AND('Pay Bill'!E104,"AAAAADe+Nxo=")</f>
        <v>#VALUE!</v>
      </c>
      <c r="AB19" t="e">
        <f>AND('Pay Bill'!F104,"AAAAADe+Nxs=")</f>
        <v>#VALUE!</v>
      </c>
      <c r="AC19" t="e">
        <f>AND('Pay Bill'!G104,"AAAAADe+Nxw=")</f>
        <v>#VALUE!</v>
      </c>
      <c r="AD19" t="e">
        <f>AND('Pay Bill'!H104,"AAAAADe+Nx0=")</f>
        <v>#VALUE!</v>
      </c>
      <c r="AE19" t="e">
        <f>AND('Pay Bill'!I104,"AAAAADe+Nx4=")</f>
        <v>#VALUE!</v>
      </c>
      <c r="AF19" t="e">
        <f>AND('Pay Bill'!J104,"AAAAADe+Nx8=")</f>
        <v>#VALUE!</v>
      </c>
      <c r="AG19" t="e">
        <f>AND('Pay Bill'!#REF!,"AAAAADe+NyA=")</f>
        <v>#REF!</v>
      </c>
      <c r="AH19" t="e">
        <f>AND('Pay Bill'!#REF!,"AAAAADe+NyE=")</f>
        <v>#REF!</v>
      </c>
      <c r="AI19" t="e">
        <f>AND('Pay Bill'!#REF!,"AAAAADe+NyI=")</f>
        <v>#REF!</v>
      </c>
      <c r="AJ19" t="e">
        <f>AND('Pay Bill'!K104,"AAAAADe+NyM=")</f>
        <v>#VALUE!</v>
      </c>
      <c r="AK19" t="e">
        <f>AND('Pay Bill'!L104,"AAAAADe+NyQ=")</f>
        <v>#VALUE!</v>
      </c>
      <c r="AL19" t="e">
        <f>AND('Pay Bill'!M104,"AAAAADe+NyU=")</f>
        <v>#VALUE!</v>
      </c>
      <c r="AM19" t="e">
        <f>AND('Pay Bill'!#REF!,"AAAAADe+NyY=")</f>
        <v>#REF!</v>
      </c>
      <c r="AN19" t="e">
        <f>AND('Pay Bill'!#REF!,"AAAAADe+Nyc=")</f>
        <v>#REF!</v>
      </c>
      <c r="AO19" t="e">
        <f>AND('Pay Bill'!#REF!,"AAAAADe+Nyg=")</f>
        <v>#REF!</v>
      </c>
      <c r="AP19" t="e">
        <f>AND('Pay Bill'!#REF!,"AAAAADe+Nyk=")</f>
        <v>#REF!</v>
      </c>
      <c r="AQ19" t="e">
        <f>AND('Pay Bill'!N104,"AAAAADe+Nyo=")</f>
        <v>#VALUE!</v>
      </c>
      <c r="AR19" t="e">
        <f>AND('Pay Bill'!A105,"AAAAADe+Nys=")</f>
        <v>#VALUE!</v>
      </c>
      <c r="AS19" t="e">
        <f>AND('Pay Bill'!B105,"AAAAADe+Nyw=")</f>
        <v>#VALUE!</v>
      </c>
      <c r="AT19" t="e">
        <f>AND('Pay Bill'!C105,"AAAAADe+Ny0=")</f>
        <v>#VALUE!</v>
      </c>
      <c r="AU19" t="e">
        <f>AND('Pay Bill'!D105,"AAAAADe+Ny4=")</f>
        <v>#VALUE!</v>
      </c>
      <c r="AV19" t="e">
        <f>AND('Pay Bill'!E105,"AAAAADe+Ny8=")</f>
        <v>#VALUE!</v>
      </c>
      <c r="AW19" t="e">
        <f>AND('Pay Bill'!F105,"AAAAADe+NzA=")</f>
        <v>#VALUE!</v>
      </c>
      <c r="AX19" t="e">
        <f>AND('Pay Bill'!G105,"AAAAADe+NzE=")</f>
        <v>#VALUE!</v>
      </c>
      <c r="AY19" t="e">
        <f>AND('Pay Bill'!H105,"AAAAADe+NzI=")</f>
        <v>#VALUE!</v>
      </c>
      <c r="AZ19" t="e">
        <f>AND('Pay Bill'!I105,"AAAAADe+NzM=")</f>
        <v>#VALUE!</v>
      </c>
      <c r="BA19" t="e">
        <f>AND('Pay Bill'!J105,"AAAAADe+NzQ=")</f>
        <v>#VALUE!</v>
      </c>
      <c r="BB19" t="e">
        <f>AND('Pay Bill'!#REF!,"AAAAADe+NzU=")</f>
        <v>#REF!</v>
      </c>
      <c r="BC19" t="e">
        <f>AND('Pay Bill'!#REF!,"AAAAADe+NzY=")</f>
        <v>#REF!</v>
      </c>
      <c r="BD19" t="e">
        <f>AND('Pay Bill'!#REF!,"AAAAADe+Nzc=")</f>
        <v>#REF!</v>
      </c>
      <c r="BE19" t="e">
        <f>AND('Pay Bill'!K105,"AAAAADe+Nzg=")</f>
        <v>#VALUE!</v>
      </c>
      <c r="BF19" t="e">
        <f>AND('Pay Bill'!L105,"AAAAADe+Nzk=")</f>
        <v>#VALUE!</v>
      </c>
      <c r="BG19" t="e">
        <f>AND('Pay Bill'!M105,"AAAAADe+Nzo=")</f>
        <v>#VALUE!</v>
      </c>
      <c r="BH19" t="e">
        <f>AND('Pay Bill'!#REF!,"AAAAADe+Nzs=")</f>
        <v>#REF!</v>
      </c>
      <c r="BI19" t="e">
        <f>AND('Pay Bill'!#REF!,"AAAAADe+Nzw=")</f>
        <v>#REF!</v>
      </c>
      <c r="BJ19" t="e">
        <f>AND('Pay Bill'!#REF!,"AAAAADe+Nz0=")</f>
        <v>#REF!</v>
      </c>
      <c r="BK19" t="e">
        <f>AND('Pay Bill'!#REF!,"AAAAADe+Nz4=")</f>
        <v>#REF!</v>
      </c>
      <c r="BL19" t="e">
        <f>AND('Pay Bill'!N105,"AAAAADe+Nz8=")</f>
        <v>#VALUE!</v>
      </c>
      <c r="BM19" t="e">
        <f>AND('Pay Bill'!A106,"AAAAADe+N0A=")</f>
        <v>#VALUE!</v>
      </c>
      <c r="BN19" t="e">
        <f>AND('Pay Bill'!B106,"AAAAADe+N0E=")</f>
        <v>#VALUE!</v>
      </c>
      <c r="BO19" t="e">
        <f>AND('Pay Bill'!C106,"AAAAADe+N0I=")</f>
        <v>#VALUE!</v>
      </c>
      <c r="BP19" t="e">
        <f>AND('Pay Bill'!D106,"AAAAADe+N0M=")</f>
        <v>#VALUE!</v>
      </c>
      <c r="BQ19" t="e">
        <f>AND('Pay Bill'!E106,"AAAAADe+N0Q=")</f>
        <v>#VALUE!</v>
      </c>
      <c r="BR19" t="e">
        <f>AND('Pay Bill'!F106,"AAAAADe+N0U=")</f>
        <v>#VALUE!</v>
      </c>
      <c r="BS19" t="e">
        <f>AND('Pay Bill'!G106,"AAAAADe+N0Y=")</f>
        <v>#VALUE!</v>
      </c>
      <c r="BT19" t="e">
        <f>AND('Pay Bill'!H106,"AAAAADe+N0c=")</f>
        <v>#VALUE!</v>
      </c>
      <c r="BU19" t="e">
        <f>AND('Pay Bill'!I106,"AAAAADe+N0g=")</f>
        <v>#VALUE!</v>
      </c>
      <c r="BV19" t="e">
        <f>AND('Pay Bill'!J106,"AAAAADe+N0k=")</f>
        <v>#VALUE!</v>
      </c>
      <c r="BW19" t="e">
        <f>AND('Pay Bill'!#REF!,"AAAAADe+N0o=")</f>
        <v>#REF!</v>
      </c>
      <c r="BX19" t="e">
        <f>AND('Pay Bill'!#REF!,"AAAAADe+N0s=")</f>
        <v>#REF!</v>
      </c>
      <c r="BY19" t="e">
        <f>AND('Pay Bill'!#REF!,"AAAAADe+N0w=")</f>
        <v>#REF!</v>
      </c>
      <c r="BZ19" t="e">
        <f>AND('Pay Bill'!K106,"AAAAADe+N00=")</f>
        <v>#VALUE!</v>
      </c>
      <c r="CA19" t="e">
        <f>AND('Pay Bill'!L106,"AAAAADe+N04=")</f>
        <v>#VALUE!</v>
      </c>
      <c r="CB19" t="e">
        <f>AND('Pay Bill'!M106,"AAAAADe+N08=")</f>
        <v>#VALUE!</v>
      </c>
      <c r="CC19" t="e">
        <f>AND('Pay Bill'!#REF!,"AAAAADe+N1A=")</f>
        <v>#REF!</v>
      </c>
      <c r="CD19" t="e">
        <f>AND('Pay Bill'!#REF!,"AAAAADe+N1E=")</f>
        <v>#REF!</v>
      </c>
      <c r="CE19" t="e">
        <f>AND('Pay Bill'!#REF!,"AAAAADe+N1I=")</f>
        <v>#REF!</v>
      </c>
      <c r="CF19" t="e">
        <f>AND('Pay Bill'!#REF!,"AAAAADe+N1M=")</f>
        <v>#REF!</v>
      </c>
      <c r="CG19" t="e">
        <f>AND('Pay Bill'!N106,"AAAAADe+N1Q=")</f>
        <v>#VALUE!</v>
      </c>
      <c r="CH19" t="e">
        <f>IF(#REF!,"AAAAADe+N1U=",0)</f>
        <v>#REF!</v>
      </c>
      <c r="CI19" t="e">
        <f>AND(#REF!,"AAAAADe+N1Y=")</f>
        <v>#REF!</v>
      </c>
      <c r="CJ19" t="e">
        <f>AND(#REF!,"AAAAADe+N1c=")</f>
        <v>#REF!</v>
      </c>
      <c r="CK19" t="e">
        <f>AND(#REF!,"AAAAADe+N1g=")</f>
        <v>#REF!</v>
      </c>
      <c r="CL19" t="e">
        <f>AND(#REF!,"AAAAADe+N1k=")</f>
        <v>#REF!</v>
      </c>
      <c r="CM19" t="e">
        <f>AND(#REF!,"AAAAADe+N1o=")</f>
        <v>#REF!</v>
      </c>
      <c r="CN19" t="e">
        <f>AND(#REF!,"AAAAADe+N1s=")</f>
        <v>#REF!</v>
      </c>
      <c r="CO19" t="e">
        <f>AND(#REF!,"AAAAADe+N1w=")</f>
        <v>#REF!</v>
      </c>
      <c r="CP19" t="e">
        <f>AND(#REF!,"AAAAADe+N10=")</f>
        <v>#REF!</v>
      </c>
      <c r="CQ19" t="e">
        <f>AND(#REF!,"AAAAADe+N14=")</f>
        <v>#REF!</v>
      </c>
      <c r="CR19" t="e">
        <f>AND(#REF!,"AAAAADe+N18=")</f>
        <v>#REF!</v>
      </c>
      <c r="CS19" t="e">
        <f>IF(#REF!,"AAAAADe+N2A=",0)</f>
        <v>#REF!</v>
      </c>
      <c r="CT19" t="e">
        <f>AND(#REF!,"AAAAADe+N2E=")</f>
        <v>#REF!</v>
      </c>
      <c r="CU19" t="e">
        <f>AND(#REF!,"AAAAADe+N2I=")</f>
        <v>#REF!</v>
      </c>
      <c r="CV19" t="e">
        <f>AND(#REF!,"AAAAADe+N2M=")</f>
        <v>#REF!</v>
      </c>
      <c r="CW19" t="e">
        <f>AND(#REF!,"AAAAADe+N2Q=")</f>
        <v>#REF!</v>
      </c>
      <c r="CX19" t="e">
        <f>AND(#REF!,"AAAAADe+N2U=")</f>
        <v>#REF!</v>
      </c>
      <c r="CY19" t="e">
        <f>AND(#REF!,"AAAAADe+N2Y=")</f>
        <v>#REF!</v>
      </c>
      <c r="CZ19" t="e">
        <f>AND(#REF!,"AAAAADe+N2c=")</f>
        <v>#REF!</v>
      </c>
      <c r="DA19" t="e">
        <f>AND(#REF!,"AAAAADe+N2g=")</f>
        <v>#REF!</v>
      </c>
      <c r="DB19" t="e">
        <f>AND(#REF!,"AAAAADe+N2k=")</f>
        <v>#REF!</v>
      </c>
      <c r="DC19" t="e">
        <f>AND(#REF!,"AAAAADe+N2o=")</f>
        <v>#REF!</v>
      </c>
      <c r="DD19" t="e">
        <f>IF(#REF!,"AAAAADe+N2s=",0)</f>
        <v>#REF!</v>
      </c>
      <c r="DE19" t="e">
        <f>AND(#REF!,"AAAAADe+N2w=")</f>
        <v>#REF!</v>
      </c>
      <c r="DF19" t="e">
        <f>AND(#REF!,"AAAAADe+N20=")</f>
        <v>#REF!</v>
      </c>
      <c r="DG19" t="e">
        <f>AND(#REF!,"AAAAADe+N24=")</f>
        <v>#REF!</v>
      </c>
      <c r="DH19" t="e">
        <f>AND(#REF!,"AAAAADe+N28=")</f>
        <v>#REF!</v>
      </c>
      <c r="DI19" t="e">
        <f>AND(#REF!,"AAAAADe+N3A=")</f>
        <v>#REF!</v>
      </c>
      <c r="DJ19" t="e">
        <f>AND(#REF!,"AAAAADe+N3E=")</f>
        <v>#REF!</v>
      </c>
      <c r="DK19" t="e">
        <f>AND(#REF!,"AAAAADe+N3I=")</f>
        <v>#REF!</v>
      </c>
      <c r="DL19" t="e">
        <f>AND(#REF!,"AAAAADe+N3M=")</f>
        <v>#REF!</v>
      </c>
      <c r="DM19" t="e">
        <f>AND(#REF!,"AAAAADe+N3Q=")</f>
        <v>#REF!</v>
      </c>
      <c r="DN19" t="e">
        <f>AND(#REF!,"AAAAADe+N3U=")</f>
        <v>#REF!</v>
      </c>
      <c r="DO19" t="e">
        <f>IF(#REF!,"AAAAADe+N3Y=",0)</f>
        <v>#REF!</v>
      </c>
      <c r="DP19" t="e">
        <f>AND(#REF!,"AAAAADe+N3c=")</f>
        <v>#REF!</v>
      </c>
      <c r="DQ19" t="e">
        <f>AND(#REF!,"AAAAADe+N3g=")</f>
        <v>#REF!</v>
      </c>
      <c r="DR19" t="e">
        <f>AND(#REF!,"AAAAADe+N3k=")</f>
        <v>#REF!</v>
      </c>
      <c r="DS19" t="e">
        <f>AND(#REF!,"AAAAADe+N3o=")</f>
        <v>#REF!</v>
      </c>
      <c r="DT19" t="e">
        <f>AND(#REF!,"AAAAADe+N3s=")</f>
        <v>#REF!</v>
      </c>
      <c r="DU19" t="e">
        <f>AND(#REF!,"AAAAADe+N3w=")</f>
        <v>#REF!</v>
      </c>
      <c r="DV19" t="e">
        <f>AND(#REF!,"AAAAADe+N30=")</f>
        <v>#REF!</v>
      </c>
      <c r="DW19" t="e">
        <f>AND(#REF!,"AAAAADe+N34=")</f>
        <v>#REF!</v>
      </c>
      <c r="DX19" t="e">
        <f>AND(#REF!,"AAAAADe+N38=")</f>
        <v>#REF!</v>
      </c>
      <c r="DY19" t="e">
        <f>AND(#REF!,"AAAAADe+N4A=")</f>
        <v>#REF!</v>
      </c>
      <c r="DZ19" t="e">
        <f>IF(#REF!,"AAAAADe+N4E=",0)</f>
        <v>#REF!</v>
      </c>
      <c r="EA19" t="e">
        <f>AND(#REF!,"AAAAADe+N4I=")</f>
        <v>#REF!</v>
      </c>
      <c r="EB19" t="e">
        <f>AND(#REF!,"AAAAADe+N4M=")</f>
        <v>#REF!</v>
      </c>
      <c r="EC19" t="e">
        <f>AND(#REF!,"AAAAADe+N4Q=")</f>
        <v>#REF!</v>
      </c>
      <c r="ED19" t="e">
        <f>AND(#REF!,"AAAAADe+N4U=")</f>
        <v>#REF!</v>
      </c>
      <c r="EE19" t="e">
        <f>AND(#REF!,"AAAAADe+N4Y=")</f>
        <v>#REF!</v>
      </c>
      <c r="EF19" t="e">
        <f>AND(#REF!,"AAAAADe+N4c=")</f>
        <v>#REF!</v>
      </c>
      <c r="EG19" t="e">
        <f>AND(#REF!,"AAAAADe+N4g=")</f>
        <v>#REF!</v>
      </c>
      <c r="EH19" t="e">
        <f>AND(#REF!,"AAAAADe+N4k=")</f>
        <v>#REF!</v>
      </c>
      <c r="EI19" t="e">
        <f>AND(#REF!,"AAAAADe+N4o=")</f>
        <v>#REF!</v>
      </c>
      <c r="EJ19" t="e">
        <f>AND(#REF!,"AAAAADe+N4s=")</f>
        <v>#REF!</v>
      </c>
      <c r="EK19" t="e">
        <f>IF(#REF!,"AAAAADe+N4w=",0)</f>
        <v>#REF!</v>
      </c>
      <c r="EL19" t="e">
        <f>AND(#REF!,"AAAAADe+N40=")</f>
        <v>#REF!</v>
      </c>
      <c r="EM19" t="e">
        <f>AND(#REF!,"AAAAADe+N44=")</f>
        <v>#REF!</v>
      </c>
      <c r="EN19" t="e">
        <f>AND(#REF!,"AAAAADe+N48=")</f>
        <v>#REF!</v>
      </c>
      <c r="EO19" t="e">
        <f>AND(#REF!,"AAAAADe+N5A=")</f>
        <v>#REF!</v>
      </c>
      <c r="EP19" t="e">
        <f>AND(#REF!,"AAAAADe+N5E=")</f>
        <v>#REF!</v>
      </c>
      <c r="EQ19" t="e">
        <f>AND(#REF!,"AAAAADe+N5I=")</f>
        <v>#REF!</v>
      </c>
      <c r="ER19" t="e">
        <f>AND(#REF!,"AAAAADe+N5M=")</f>
        <v>#REF!</v>
      </c>
      <c r="ES19" t="e">
        <f>AND(#REF!,"AAAAADe+N5Q=")</f>
        <v>#REF!</v>
      </c>
      <c r="ET19" t="e">
        <f>AND(#REF!,"AAAAADe+N5U=")</f>
        <v>#REF!</v>
      </c>
      <c r="EU19" t="e">
        <f>AND(#REF!,"AAAAADe+N5Y=")</f>
        <v>#REF!</v>
      </c>
      <c r="EV19" t="e">
        <f>IF(#REF!,"AAAAADe+N5c=",0)</f>
        <v>#REF!</v>
      </c>
      <c r="EW19" t="e">
        <f>AND(#REF!,"AAAAADe+N5g=")</f>
        <v>#REF!</v>
      </c>
      <c r="EX19" t="e">
        <f>AND(#REF!,"AAAAADe+N5k=")</f>
        <v>#REF!</v>
      </c>
      <c r="EY19" t="e">
        <f>AND(#REF!,"AAAAADe+N5o=")</f>
        <v>#REF!</v>
      </c>
      <c r="EZ19" t="e">
        <f>AND(#REF!,"AAAAADe+N5s=")</f>
        <v>#REF!</v>
      </c>
      <c r="FA19" t="e">
        <f>AND(#REF!,"AAAAADe+N5w=")</f>
        <v>#REF!</v>
      </c>
      <c r="FB19" t="e">
        <f>AND(#REF!,"AAAAADe+N50=")</f>
        <v>#REF!</v>
      </c>
      <c r="FC19" t="e">
        <f>AND(#REF!,"AAAAADe+N54=")</f>
        <v>#REF!</v>
      </c>
      <c r="FD19" t="e">
        <f>AND(#REF!,"AAAAADe+N58=")</f>
        <v>#REF!</v>
      </c>
      <c r="FE19" t="e">
        <f>AND(#REF!,"AAAAADe+N6A=")</f>
        <v>#REF!</v>
      </c>
      <c r="FF19" t="e">
        <f>AND(#REF!,"AAAAADe+N6E=")</f>
        <v>#REF!</v>
      </c>
      <c r="FG19" t="e">
        <f>IF(#REF!,"AAAAADe+N6I=",0)</f>
        <v>#REF!</v>
      </c>
      <c r="FH19" t="e">
        <f>AND(#REF!,"AAAAADe+N6M=")</f>
        <v>#REF!</v>
      </c>
      <c r="FI19" t="e">
        <f>AND(#REF!,"AAAAADe+N6Q=")</f>
        <v>#REF!</v>
      </c>
      <c r="FJ19" t="e">
        <f>AND(#REF!,"AAAAADe+N6U=")</f>
        <v>#REF!</v>
      </c>
      <c r="FK19" t="e">
        <f>AND(#REF!,"AAAAADe+N6Y=")</f>
        <v>#REF!</v>
      </c>
      <c r="FL19" t="e">
        <f>AND(#REF!,"AAAAADe+N6c=")</f>
        <v>#REF!</v>
      </c>
      <c r="FM19" t="e">
        <f>AND(#REF!,"AAAAADe+N6g=")</f>
        <v>#REF!</v>
      </c>
      <c r="FN19" t="e">
        <f>AND(#REF!,"AAAAADe+N6k=")</f>
        <v>#REF!</v>
      </c>
      <c r="FO19" t="e">
        <f>AND(#REF!,"AAAAADe+N6o=")</f>
        <v>#REF!</v>
      </c>
      <c r="FP19" t="e">
        <f>AND(#REF!,"AAAAADe+N6s=")</f>
        <v>#REF!</v>
      </c>
      <c r="FQ19" t="e">
        <f>AND(#REF!,"AAAAADe+N6w=")</f>
        <v>#REF!</v>
      </c>
      <c r="FR19" t="e">
        <f>IF(#REF!,"AAAAADe+N60=",0)</f>
        <v>#REF!</v>
      </c>
      <c r="FS19" t="e">
        <f>AND(#REF!,"AAAAADe+N64=")</f>
        <v>#REF!</v>
      </c>
      <c r="FT19" t="e">
        <f>AND(#REF!,"AAAAADe+N68=")</f>
        <v>#REF!</v>
      </c>
      <c r="FU19" t="e">
        <f>AND(#REF!,"AAAAADe+N7A=")</f>
        <v>#REF!</v>
      </c>
      <c r="FV19" t="e">
        <f>AND(#REF!,"AAAAADe+N7E=")</f>
        <v>#REF!</v>
      </c>
      <c r="FW19" t="e">
        <f>AND(#REF!,"AAAAADe+N7I=")</f>
        <v>#REF!</v>
      </c>
      <c r="FX19" t="e">
        <f>AND(#REF!,"AAAAADe+N7M=")</f>
        <v>#REF!</v>
      </c>
      <c r="FY19" t="e">
        <f>AND(#REF!,"AAAAADe+N7Q=")</f>
        <v>#REF!</v>
      </c>
      <c r="FZ19" t="e">
        <f>AND(#REF!,"AAAAADe+N7U=")</f>
        <v>#REF!</v>
      </c>
      <c r="GA19" t="e">
        <f>AND(#REF!,"AAAAADe+N7Y=")</f>
        <v>#REF!</v>
      </c>
      <c r="GB19" t="e">
        <f>AND(#REF!,"AAAAADe+N7c=")</f>
        <v>#REF!</v>
      </c>
      <c r="GC19" t="e">
        <f>IF(#REF!,"AAAAADe+N7g=",0)</f>
        <v>#REF!</v>
      </c>
      <c r="GD19" t="e">
        <f>AND(#REF!,"AAAAADe+N7k=")</f>
        <v>#REF!</v>
      </c>
      <c r="GE19" t="e">
        <f>AND(#REF!,"AAAAADe+N7o=")</f>
        <v>#REF!</v>
      </c>
      <c r="GF19" t="e">
        <f>AND(#REF!,"AAAAADe+N7s=")</f>
        <v>#REF!</v>
      </c>
      <c r="GG19" t="e">
        <f>AND(#REF!,"AAAAADe+N7w=")</f>
        <v>#REF!</v>
      </c>
      <c r="GH19" t="e">
        <f>AND(#REF!,"AAAAADe+N70=")</f>
        <v>#REF!</v>
      </c>
      <c r="GI19" t="e">
        <f>AND(#REF!,"AAAAADe+N74=")</f>
        <v>#REF!</v>
      </c>
      <c r="GJ19" t="e">
        <f>AND(#REF!,"AAAAADe+N78=")</f>
        <v>#REF!</v>
      </c>
      <c r="GK19" t="e">
        <f>AND(#REF!,"AAAAADe+N8A=")</f>
        <v>#REF!</v>
      </c>
      <c r="GL19" t="e">
        <f>AND(#REF!,"AAAAADe+N8E=")</f>
        <v>#REF!</v>
      </c>
      <c r="GM19" t="e">
        <f>AND(#REF!,"AAAAADe+N8I=")</f>
        <v>#REF!</v>
      </c>
      <c r="GN19" t="e">
        <f>IF(#REF!,"AAAAADe+N8M=",0)</f>
        <v>#REF!</v>
      </c>
      <c r="GO19" t="e">
        <f>AND(#REF!,"AAAAADe+N8Q=")</f>
        <v>#REF!</v>
      </c>
      <c r="GP19" t="e">
        <f>AND(#REF!,"AAAAADe+N8U=")</f>
        <v>#REF!</v>
      </c>
      <c r="GQ19" t="e">
        <f>AND(#REF!,"AAAAADe+N8Y=")</f>
        <v>#REF!</v>
      </c>
      <c r="GR19" t="e">
        <f>AND(#REF!,"AAAAADe+N8c=")</f>
        <v>#REF!</v>
      </c>
      <c r="GS19" t="e">
        <f>AND(#REF!,"AAAAADe+N8g=")</f>
        <v>#REF!</v>
      </c>
      <c r="GT19" t="e">
        <f>AND(#REF!,"AAAAADe+N8k=")</f>
        <v>#REF!</v>
      </c>
      <c r="GU19" t="e">
        <f>AND(#REF!,"AAAAADe+N8o=")</f>
        <v>#REF!</v>
      </c>
      <c r="GV19" t="e">
        <f>AND(#REF!,"AAAAADe+N8s=")</f>
        <v>#REF!</v>
      </c>
      <c r="GW19" t="e">
        <f>AND(#REF!,"AAAAADe+N8w=")</f>
        <v>#REF!</v>
      </c>
      <c r="GX19" t="e">
        <f>AND(#REF!,"AAAAADe+N80=")</f>
        <v>#REF!</v>
      </c>
      <c r="GY19" t="e">
        <f>IF(#REF!,"AAAAADe+N84=",0)</f>
        <v>#REF!</v>
      </c>
      <c r="GZ19" t="e">
        <f>AND(#REF!,"AAAAADe+N88=")</f>
        <v>#REF!</v>
      </c>
      <c r="HA19" t="e">
        <f>AND(#REF!,"AAAAADe+N9A=")</f>
        <v>#REF!</v>
      </c>
      <c r="HB19" t="e">
        <f>AND(#REF!,"AAAAADe+N9E=")</f>
        <v>#REF!</v>
      </c>
      <c r="HC19" t="e">
        <f>AND(#REF!,"AAAAADe+N9I=")</f>
        <v>#REF!</v>
      </c>
      <c r="HD19" t="e">
        <f>AND(#REF!,"AAAAADe+N9M=")</f>
        <v>#REF!</v>
      </c>
      <c r="HE19" t="e">
        <f>AND(#REF!,"AAAAADe+N9Q=")</f>
        <v>#REF!</v>
      </c>
      <c r="HF19" t="e">
        <f>AND(#REF!,"AAAAADe+N9U=")</f>
        <v>#REF!</v>
      </c>
      <c r="HG19" t="e">
        <f>AND(#REF!,"AAAAADe+N9Y=")</f>
        <v>#REF!</v>
      </c>
      <c r="HH19" t="e">
        <f>AND(#REF!,"AAAAADe+N9c=")</f>
        <v>#REF!</v>
      </c>
      <c r="HI19" t="e">
        <f>AND(#REF!,"AAAAADe+N9g=")</f>
        <v>#REF!</v>
      </c>
      <c r="HJ19" t="e">
        <f>IF(#REF!,"AAAAADe+N9k=",0)</f>
        <v>#REF!</v>
      </c>
      <c r="HK19" t="e">
        <f>AND(#REF!,"AAAAADe+N9o=")</f>
        <v>#REF!</v>
      </c>
      <c r="HL19" t="e">
        <f>AND(#REF!,"AAAAADe+N9s=")</f>
        <v>#REF!</v>
      </c>
      <c r="HM19" t="e">
        <f>AND(#REF!,"AAAAADe+N9w=")</f>
        <v>#REF!</v>
      </c>
      <c r="HN19" t="e">
        <f>AND(#REF!,"AAAAADe+N90=")</f>
        <v>#REF!</v>
      </c>
      <c r="HO19" t="e">
        <f>AND(#REF!,"AAAAADe+N94=")</f>
        <v>#REF!</v>
      </c>
      <c r="HP19" t="e">
        <f>AND(#REF!,"AAAAADe+N98=")</f>
        <v>#REF!</v>
      </c>
      <c r="HQ19" t="e">
        <f>AND(#REF!,"AAAAADe+N+A=")</f>
        <v>#REF!</v>
      </c>
      <c r="HR19" t="e">
        <f>AND(#REF!,"AAAAADe+N+E=")</f>
        <v>#REF!</v>
      </c>
      <c r="HS19" t="e">
        <f>AND(#REF!,"AAAAADe+N+I=")</f>
        <v>#REF!</v>
      </c>
      <c r="HT19" t="e">
        <f>AND(#REF!,"AAAAADe+N+M=")</f>
        <v>#REF!</v>
      </c>
      <c r="HU19" t="e">
        <f>IF(#REF!,"AAAAADe+N+Q=",0)</f>
        <v>#REF!</v>
      </c>
      <c r="HV19" t="e">
        <f>AND(#REF!,"AAAAADe+N+U=")</f>
        <v>#REF!</v>
      </c>
      <c r="HW19" t="e">
        <f>AND(#REF!,"AAAAADe+N+Y=")</f>
        <v>#REF!</v>
      </c>
      <c r="HX19" t="e">
        <f>AND(#REF!,"AAAAADe+N+c=")</f>
        <v>#REF!</v>
      </c>
      <c r="HY19" t="e">
        <f>AND(#REF!,"AAAAADe+N+g=")</f>
        <v>#REF!</v>
      </c>
      <c r="HZ19" t="e">
        <f>AND(#REF!,"AAAAADe+N+k=")</f>
        <v>#REF!</v>
      </c>
      <c r="IA19" t="e">
        <f>AND(#REF!,"AAAAADe+N+o=")</f>
        <v>#REF!</v>
      </c>
      <c r="IB19" t="e">
        <f>AND(#REF!,"AAAAADe+N+s=")</f>
        <v>#REF!</v>
      </c>
      <c r="IC19" t="e">
        <f>AND(#REF!,"AAAAADe+N+w=")</f>
        <v>#REF!</v>
      </c>
      <c r="ID19" t="e">
        <f>AND(#REF!,"AAAAADe+N+0=")</f>
        <v>#REF!</v>
      </c>
      <c r="IE19" t="e">
        <f>AND(#REF!,"AAAAADe+N+4=")</f>
        <v>#REF!</v>
      </c>
      <c r="IF19" t="e">
        <f>IF(#REF!,"AAAAADe+N+8=",0)</f>
        <v>#REF!</v>
      </c>
      <c r="IG19" t="e">
        <f>AND(#REF!,"AAAAADe+N/A=")</f>
        <v>#REF!</v>
      </c>
      <c r="IH19" t="e">
        <f>AND(#REF!,"AAAAADe+N/E=")</f>
        <v>#REF!</v>
      </c>
      <c r="II19" t="e">
        <f>AND(#REF!,"AAAAADe+N/I=")</f>
        <v>#REF!</v>
      </c>
      <c r="IJ19" t="e">
        <f>AND(#REF!,"AAAAADe+N/M=")</f>
        <v>#REF!</v>
      </c>
      <c r="IK19" t="e">
        <f>AND(#REF!,"AAAAADe+N/Q=")</f>
        <v>#REF!</v>
      </c>
      <c r="IL19" t="e">
        <f>AND(#REF!,"AAAAADe+N/U=")</f>
        <v>#REF!</v>
      </c>
      <c r="IM19" t="e">
        <f>AND(#REF!,"AAAAADe+N/Y=")</f>
        <v>#REF!</v>
      </c>
      <c r="IN19" t="e">
        <f>AND(#REF!,"AAAAADe+N/c=")</f>
        <v>#REF!</v>
      </c>
      <c r="IO19" t="e">
        <f>AND(#REF!,"AAAAADe+N/g=")</f>
        <v>#REF!</v>
      </c>
      <c r="IP19" t="e">
        <f>AND(#REF!,"AAAAADe+N/k=")</f>
        <v>#REF!</v>
      </c>
      <c r="IQ19" t="e">
        <f>IF(#REF!,"AAAAADe+N/o=",0)</f>
        <v>#REF!</v>
      </c>
      <c r="IR19" t="e">
        <f>AND(#REF!,"AAAAADe+N/s=")</f>
        <v>#REF!</v>
      </c>
      <c r="IS19" t="e">
        <f>AND(#REF!,"AAAAADe+N/w=")</f>
        <v>#REF!</v>
      </c>
      <c r="IT19" t="e">
        <f>AND(#REF!,"AAAAADe+N/0=")</f>
        <v>#REF!</v>
      </c>
      <c r="IU19" t="e">
        <f>AND(#REF!,"AAAAADe+N/4=")</f>
        <v>#REF!</v>
      </c>
      <c r="IV19" t="e">
        <f>AND(#REF!,"AAAAADe+N/8=")</f>
        <v>#REF!</v>
      </c>
    </row>
    <row r="20" spans="1:256" x14ac:dyDescent="0.25">
      <c r="A20" t="e">
        <f>AND(#REF!,"AAAAAFX//gA=")</f>
        <v>#REF!</v>
      </c>
      <c r="B20" t="e">
        <f>AND(#REF!,"AAAAAFX//gE=")</f>
        <v>#REF!</v>
      </c>
      <c r="C20" t="e">
        <f>AND(#REF!,"AAAAAFX//gI=")</f>
        <v>#REF!</v>
      </c>
      <c r="D20" t="e">
        <f>AND(#REF!,"AAAAAFX//gM=")</f>
        <v>#REF!</v>
      </c>
      <c r="E20" t="e">
        <f>AND(#REF!,"AAAAAFX//gQ=")</f>
        <v>#REF!</v>
      </c>
      <c r="F20" t="e">
        <f>IF(#REF!,"AAAAAFX//gU=",0)</f>
        <v>#REF!</v>
      </c>
      <c r="G20" t="e">
        <f>AND(#REF!,"AAAAAFX//gY=")</f>
        <v>#REF!</v>
      </c>
      <c r="H20" t="e">
        <f>AND(#REF!,"AAAAAFX//gc=")</f>
        <v>#REF!</v>
      </c>
      <c r="I20" t="e">
        <f>AND(#REF!,"AAAAAFX//gg=")</f>
        <v>#REF!</v>
      </c>
      <c r="J20" t="e">
        <f>AND(#REF!,"AAAAAFX//gk=")</f>
        <v>#REF!</v>
      </c>
      <c r="K20" t="e">
        <f>AND(#REF!,"AAAAAFX//go=")</f>
        <v>#REF!</v>
      </c>
      <c r="L20" t="e">
        <f>AND(#REF!,"AAAAAFX//gs=")</f>
        <v>#REF!</v>
      </c>
      <c r="M20" t="e">
        <f>AND(#REF!,"AAAAAFX//gw=")</f>
        <v>#REF!</v>
      </c>
      <c r="N20" t="e">
        <f>AND(#REF!,"AAAAAFX//g0=")</f>
        <v>#REF!</v>
      </c>
      <c r="O20" t="e">
        <f>AND(#REF!,"AAAAAFX//g4=")</f>
        <v>#REF!</v>
      </c>
      <c r="P20" t="e">
        <f>AND(#REF!,"AAAAAFX//g8=")</f>
        <v>#REF!</v>
      </c>
      <c r="Q20" t="e">
        <f>IF(#REF!,"AAAAAFX//hA=",0)</f>
        <v>#REF!</v>
      </c>
      <c r="R20" t="e">
        <f>AND(#REF!,"AAAAAFX//hE=")</f>
        <v>#REF!</v>
      </c>
      <c r="S20" t="e">
        <f>AND(#REF!,"AAAAAFX//hI=")</f>
        <v>#REF!</v>
      </c>
      <c r="T20" t="e">
        <f>AND(#REF!,"AAAAAFX//hM=")</f>
        <v>#REF!</v>
      </c>
      <c r="U20" t="e">
        <f>AND(#REF!,"AAAAAFX//hQ=")</f>
        <v>#REF!</v>
      </c>
      <c r="V20" t="e">
        <f>AND(#REF!,"AAAAAFX//hU=")</f>
        <v>#REF!</v>
      </c>
      <c r="W20" t="e">
        <f>AND(#REF!,"AAAAAFX//hY=")</f>
        <v>#REF!</v>
      </c>
      <c r="X20" t="e">
        <f>AND(#REF!,"AAAAAFX//hc=")</f>
        <v>#REF!</v>
      </c>
      <c r="Y20" t="e">
        <f>AND(#REF!,"AAAAAFX//hg=")</f>
        <v>#REF!</v>
      </c>
      <c r="Z20" t="e">
        <f>AND(#REF!,"AAAAAFX//hk=")</f>
        <v>#REF!</v>
      </c>
      <c r="AA20" t="e">
        <f>AND(#REF!,"AAAAAFX//ho=")</f>
        <v>#REF!</v>
      </c>
      <c r="AB20" t="e">
        <f>IF(#REF!,"AAAAAFX//hs=",0)</f>
        <v>#REF!</v>
      </c>
      <c r="AC20" t="e">
        <f>AND(#REF!,"AAAAAFX//hw=")</f>
        <v>#REF!</v>
      </c>
      <c r="AD20" t="e">
        <f>AND(#REF!,"AAAAAFX//h0=")</f>
        <v>#REF!</v>
      </c>
      <c r="AE20" t="e">
        <f>AND(#REF!,"AAAAAFX//h4=")</f>
        <v>#REF!</v>
      </c>
      <c r="AF20" t="e">
        <f>AND(#REF!,"AAAAAFX//h8=")</f>
        <v>#REF!</v>
      </c>
      <c r="AG20" t="e">
        <f>AND(#REF!,"AAAAAFX//iA=")</f>
        <v>#REF!</v>
      </c>
      <c r="AH20" t="e">
        <f>AND(#REF!,"AAAAAFX//iE=")</f>
        <v>#REF!</v>
      </c>
      <c r="AI20" t="e">
        <f>AND(#REF!,"AAAAAFX//iI=")</f>
        <v>#REF!</v>
      </c>
      <c r="AJ20" t="e">
        <f>AND(#REF!,"AAAAAFX//iM=")</f>
        <v>#REF!</v>
      </c>
      <c r="AK20" t="e">
        <f>AND(#REF!,"AAAAAFX//iQ=")</f>
        <v>#REF!</v>
      </c>
      <c r="AL20" t="e">
        <f>AND(#REF!,"AAAAAFX//iU=")</f>
        <v>#REF!</v>
      </c>
      <c r="AM20" t="e">
        <f>IF(#REF!,"AAAAAFX//iY=",0)</f>
        <v>#REF!</v>
      </c>
      <c r="AN20" t="e">
        <f>AND(#REF!,"AAAAAFX//ic=")</f>
        <v>#REF!</v>
      </c>
      <c r="AO20" t="e">
        <f>AND(#REF!,"AAAAAFX//ig=")</f>
        <v>#REF!</v>
      </c>
      <c r="AP20" t="e">
        <f>AND(#REF!,"AAAAAFX//ik=")</f>
        <v>#REF!</v>
      </c>
      <c r="AQ20" t="e">
        <f>AND(#REF!,"AAAAAFX//io=")</f>
        <v>#REF!</v>
      </c>
      <c r="AR20" t="e">
        <f>AND(#REF!,"AAAAAFX//is=")</f>
        <v>#REF!</v>
      </c>
      <c r="AS20" t="e">
        <f>AND(#REF!,"AAAAAFX//iw=")</f>
        <v>#REF!</v>
      </c>
      <c r="AT20" t="e">
        <f>AND(#REF!,"AAAAAFX//i0=")</f>
        <v>#REF!</v>
      </c>
      <c r="AU20" t="e">
        <f>AND(#REF!,"AAAAAFX//i4=")</f>
        <v>#REF!</v>
      </c>
      <c r="AV20" t="e">
        <f>AND(#REF!,"AAAAAFX//i8=")</f>
        <v>#REF!</v>
      </c>
      <c r="AW20" t="e">
        <f>AND(#REF!,"AAAAAFX//jA=")</f>
        <v>#REF!</v>
      </c>
      <c r="AX20" t="e">
        <f>IF(#REF!,"AAAAAFX//jE=",0)</f>
        <v>#REF!</v>
      </c>
      <c r="AY20" t="e">
        <f>AND(#REF!,"AAAAAFX//jI=")</f>
        <v>#REF!</v>
      </c>
      <c r="AZ20" t="e">
        <f>AND(#REF!,"AAAAAFX//jM=")</f>
        <v>#REF!</v>
      </c>
      <c r="BA20" t="e">
        <f>AND(#REF!,"AAAAAFX//jQ=")</f>
        <v>#REF!</v>
      </c>
      <c r="BB20" t="e">
        <f>AND(#REF!,"AAAAAFX//jU=")</f>
        <v>#REF!</v>
      </c>
      <c r="BC20" t="e">
        <f>AND(#REF!,"AAAAAFX//jY=")</f>
        <v>#REF!</v>
      </c>
      <c r="BD20" t="e">
        <f>AND(#REF!,"AAAAAFX//jc=")</f>
        <v>#REF!</v>
      </c>
      <c r="BE20" t="e">
        <f>AND(#REF!,"AAAAAFX//jg=")</f>
        <v>#REF!</v>
      </c>
      <c r="BF20" t="e">
        <f>AND(#REF!,"AAAAAFX//jk=")</f>
        <v>#REF!</v>
      </c>
      <c r="BG20" t="e">
        <f>AND(#REF!,"AAAAAFX//jo=")</f>
        <v>#REF!</v>
      </c>
      <c r="BH20" t="e">
        <f>AND(#REF!,"AAAAAFX//js=")</f>
        <v>#REF!</v>
      </c>
      <c r="BI20" t="e">
        <f>IF(#REF!,"AAAAAFX//jw=",0)</f>
        <v>#REF!</v>
      </c>
      <c r="BJ20" t="e">
        <f>AND(#REF!,"AAAAAFX//j0=")</f>
        <v>#REF!</v>
      </c>
      <c r="BK20" t="e">
        <f>AND(#REF!,"AAAAAFX//j4=")</f>
        <v>#REF!</v>
      </c>
      <c r="BL20" t="e">
        <f>AND(#REF!,"AAAAAFX//j8=")</f>
        <v>#REF!</v>
      </c>
      <c r="BM20" t="e">
        <f>AND(#REF!,"AAAAAFX//kA=")</f>
        <v>#REF!</v>
      </c>
      <c r="BN20" t="e">
        <f>AND(#REF!,"AAAAAFX//kE=")</f>
        <v>#REF!</v>
      </c>
      <c r="BO20" t="e">
        <f>AND(#REF!,"AAAAAFX//kI=")</f>
        <v>#REF!</v>
      </c>
      <c r="BP20" t="e">
        <f>AND(#REF!,"AAAAAFX//kM=")</f>
        <v>#REF!</v>
      </c>
      <c r="BQ20" t="e">
        <f>AND(#REF!,"AAAAAFX//kQ=")</f>
        <v>#REF!</v>
      </c>
      <c r="BR20" t="e">
        <f>AND(#REF!,"AAAAAFX//kU=")</f>
        <v>#REF!</v>
      </c>
      <c r="BS20" t="e">
        <f>AND(#REF!,"AAAAAFX//kY=")</f>
        <v>#REF!</v>
      </c>
      <c r="BT20" t="e">
        <f>IF(#REF!,"AAAAAFX//kc=",0)</f>
        <v>#REF!</v>
      </c>
      <c r="BU20" t="e">
        <f>AND(#REF!,"AAAAAFX//kg=")</f>
        <v>#REF!</v>
      </c>
      <c r="BV20" t="e">
        <f>AND(#REF!,"AAAAAFX//kk=")</f>
        <v>#REF!</v>
      </c>
      <c r="BW20" t="e">
        <f>AND(#REF!,"AAAAAFX//ko=")</f>
        <v>#REF!</v>
      </c>
      <c r="BX20" t="e">
        <f>AND(#REF!,"AAAAAFX//ks=")</f>
        <v>#REF!</v>
      </c>
      <c r="BY20" t="e">
        <f>AND(#REF!,"AAAAAFX//kw=")</f>
        <v>#REF!</v>
      </c>
      <c r="BZ20" t="e">
        <f>AND(#REF!,"AAAAAFX//k0=")</f>
        <v>#REF!</v>
      </c>
      <c r="CA20" t="e">
        <f>AND(#REF!,"AAAAAFX//k4=")</f>
        <v>#REF!</v>
      </c>
      <c r="CB20" t="e">
        <f>AND(#REF!,"AAAAAFX//k8=")</f>
        <v>#REF!</v>
      </c>
      <c r="CC20" t="e">
        <f>AND(#REF!,"AAAAAFX//lA=")</f>
        <v>#REF!</v>
      </c>
      <c r="CD20" t="e">
        <f>AND(#REF!,"AAAAAFX//lE=")</f>
        <v>#REF!</v>
      </c>
      <c r="CE20" t="e">
        <f>IF(#REF!,"AAAAAFX//lI=",0)</f>
        <v>#REF!</v>
      </c>
      <c r="CF20" t="e">
        <f>AND(#REF!,"AAAAAFX//lM=")</f>
        <v>#REF!</v>
      </c>
      <c r="CG20" t="e">
        <f>AND(#REF!,"AAAAAFX//lQ=")</f>
        <v>#REF!</v>
      </c>
      <c r="CH20" t="e">
        <f>AND(#REF!,"AAAAAFX//lU=")</f>
        <v>#REF!</v>
      </c>
      <c r="CI20" t="e">
        <f>AND(#REF!,"AAAAAFX//lY=")</f>
        <v>#REF!</v>
      </c>
      <c r="CJ20" t="e">
        <f>AND(#REF!,"AAAAAFX//lc=")</f>
        <v>#REF!</v>
      </c>
      <c r="CK20" t="e">
        <f>AND(#REF!,"AAAAAFX//lg=")</f>
        <v>#REF!</v>
      </c>
      <c r="CL20" t="e">
        <f>AND(#REF!,"AAAAAFX//lk=")</f>
        <v>#REF!</v>
      </c>
      <c r="CM20" t="e">
        <f>AND(#REF!,"AAAAAFX//lo=")</f>
        <v>#REF!</v>
      </c>
      <c r="CN20" t="e">
        <f>AND(#REF!,"AAAAAFX//ls=")</f>
        <v>#REF!</v>
      </c>
      <c r="CO20" t="e">
        <f>AND(#REF!,"AAAAAFX//lw=")</f>
        <v>#REF!</v>
      </c>
      <c r="CP20" t="e">
        <f>IF(#REF!,"AAAAAFX//l0=",0)</f>
        <v>#REF!</v>
      </c>
      <c r="CQ20" t="e">
        <f>AND(#REF!,"AAAAAFX//l4=")</f>
        <v>#REF!</v>
      </c>
      <c r="CR20" t="e">
        <f>AND(#REF!,"AAAAAFX//l8=")</f>
        <v>#REF!</v>
      </c>
      <c r="CS20" t="e">
        <f>AND(#REF!,"AAAAAFX//mA=")</f>
        <v>#REF!</v>
      </c>
      <c r="CT20" t="e">
        <f>AND(#REF!,"AAAAAFX//mE=")</f>
        <v>#REF!</v>
      </c>
      <c r="CU20" t="e">
        <f>AND(#REF!,"AAAAAFX//mI=")</f>
        <v>#REF!</v>
      </c>
      <c r="CV20" t="e">
        <f>AND(#REF!,"AAAAAFX//mM=")</f>
        <v>#REF!</v>
      </c>
      <c r="CW20" t="e">
        <f>AND(#REF!,"AAAAAFX//mQ=")</f>
        <v>#REF!</v>
      </c>
      <c r="CX20" t="e">
        <f>AND(#REF!,"AAAAAFX//mU=")</f>
        <v>#REF!</v>
      </c>
      <c r="CY20" t="e">
        <f>AND(#REF!,"AAAAAFX//mY=")</f>
        <v>#REF!</v>
      </c>
      <c r="CZ20" t="e">
        <f>AND(#REF!,"AAAAAFX//mc=")</f>
        <v>#REF!</v>
      </c>
      <c r="DA20" t="e">
        <f>IF(#REF!,"AAAAAFX//mg=",0)</f>
        <v>#REF!</v>
      </c>
      <c r="DB20" t="e">
        <f>AND(#REF!,"AAAAAFX//mk=")</f>
        <v>#REF!</v>
      </c>
      <c r="DC20" t="e">
        <f>AND(#REF!,"AAAAAFX//mo=")</f>
        <v>#REF!</v>
      </c>
      <c r="DD20" t="e">
        <f>AND(#REF!,"AAAAAFX//ms=")</f>
        <v>#REF!</v>
      </c>
      <c r="DE20" t="e">
        <f>AND(#REF!,"AAAAAFX//mw=")</f>
        <v>#REF!</v>
      </c>
      <c r="DF20" t="e">
        <f>AND(#REF!,"AAAAAFX//m0=")</f>
        <v>#REF!</v>
      </c>
      <c r="DG20" t="e">
        <f>AND(#REF!,"AAAAAFX//m4=")</f>
        <v>#REF!</v>
      </c>
      <c r="DH20" t="e">
        <f>AND(#REF!,"AAAAAFX//m8=")</f>
        <v>#REF!</v>
      </c>
      <c r="DI20" t="e">
        <f>AND(#REF!,"AAAAAFX//nA=")</f>
        <v>#REF!</v>
      </c>
      <c r="DJ20" t="e">
        <f>AND(#REF!,"AAAAAFX//nE=")</f>
        <v>#REF!</v>
      </c>
      <c r="DK20" t="e">
        <f>AND(#REF!,"AAAAAFX//nI=")</f>
        <v>#REF!</v>
      </c>
      <c r="DL20" t="e">
        <f>IF(#REF!,"AAAAAFX//nM=",0)</f>
        <v>#REF!</v>
      </c>
      <c r="DM20" t="e">
        <f>AND(#REF!,"AAAAAFX//nQ=")</f>
        <v>#REF!</v>
      </c>
      <c r="DN20" t="e">
        <f>AND(#REF!,"AAAAAFX//nU=")</f>
        <v>#REF!</v>
      </c>
      <c r="DO20" t="e">
        <f>AND(#REF!,"AAAAAFX//nY=")</f>
        <v>#REF!</v>
      </c>
      <c r="DP20" t="e">
        <f>AND(#REF!,"AAAAAFX//nc=")</f>
        <v>#REF!</v>
      </c>
      <c r="DQ20" t="e">
        <f>AND(#REF!,"AAAAAFX//ng=")</f>
        <v>#REF!</v>
      </c>
      <c r="DR20" t="e">
        <f>AND(#REF!,"AAAAAFX//nk=")</f>
        <v>#REF!</v>
      </c>
      <c r="DS20" t="e">
        <f>AND(#REF!,"AAAAAFX//no=")</f>
        <v>#REF!</v>
      </c>
      <c r="DT20" t="e">
        <f>AND(#REF!,"AAAAAFX//ns=")</f>
        <v>#REF!</v>
      </c>
      <c r="DU20" t="e">
        <f>AND(#REF!,"AAAAAFX//nw=")</f>
        <v>#REF!</v>
      </c>
      <c r="DV20" t="e">
        <f>AND(#REF!,"AAAAAFX//n0=")</f>
        <v>#REF!</v>
      </c>
      <c r="DW20" t="e">
        <f>IF(#REF!,"AAAAAFX//n4=",0)</f>
        <v>#REF!</v>
      </c>
      <c r="DX20" t="e">
        <f>AND(#REF!,"AAAAAFX//n8=")</f>
        <v>#REF!</v>
      </c>
      <c r="DY20" t="e">
        <f>AND(#REF!,"AAAAAFX//oA=")</f>
        <v>#REF!</v>
      </c>
      <c r="DZ20" t="e">
        <f>AND(#REF!,"AAAAAFX//oE=")</f>
        <v>#REF!</v>
      </c>
      <c r="EA20" t="e">
        <f>AND(#REF!,"AAAAAFX//oI=")</f>
        <v>#REF!</v>
      </c>
      <c r="EB20" t="e">
        <f>AND(#REF!,"AAAAAFX//oM=")</f>
        <v>#REF!</v>
      </c>
      <c r="EC20" t="e">
        <f>AND(#REF!,"AAAAAFX//oQ=")</f>
        <v>#REF!</v>
      </c>
      <c r="ED20" t="e">
        <f>AND(#REF!,"AAAAAFX//oU=")</f>
        <v>#REF!</v>
      </c>
      <c r="EE20" t="e">
        <f>AND(#REF!,"AAAAAFX//oY=")</f>
        <v>#REF!</v>
      </c>
      <c r="EF20" t="e">
        <f>AND(#REF!,"AAAAAFX//oc=")</f>
        <v>#REF!</v>
      </c>
      <c r="EG20" t="e">
        <f>AND(#REF!,"AAAAAFX//og=")</f>
        <v>#REF!</v>
      </c>
      <c r="EH20" t="e">
        <f>IF(#REF!,"AAAAAFX//ok=",0)</f>
        <v>#REF!</v>
      </c>
      <c r="EI20" t="e">
        <f>AND(#REF!,"AAAAAFX//oo=")</f>
        <v>#REF!</v>
      </c>
      <c r="EJ20" t="e">
        <f>AND(#REF!,"AAAAAFX//os=")</f>
        <v>#REF!</v>
      </c>
      <c r="EK20" t="e">
        <f>AND(#REF!,"AAAAAFX//ow=")</f>
        <v>#REF!</v>
      </c>
      <c r="EL20" t="e">
        <f>AND(#REF!,"AAAAAFX//o0=")</f>
        <v>#REF!</v>
      </c>
      <c r="EM20" t="e">
        <f>AND(#REF!,"AAAAAFX//o4=")</f>
        <v>#REF!</v>
      </c>
      <c r="EN20" t="e">
        <f>AND(#REF!,"AAAAAFX//o8=")</f>
        <v>#REF!</v>
      </c>
      <c r="EO20" t="e">
        <f>AND(#REF!,"AAAAAFX//pA=")</f>
        <v>#REF!</v>
      </c>
      <c r="EP20" t="e">
        <f>AND(#REF!,"AAAAAFX//pE=")</f>
        <v>#REF!</v>
      </c>
      <c r="EQ20" t="e">
        <f>AND(#REF!,"AAAAAFX//pI=")</f>
        <v>#REF!</v>
      </c>
      <c r="ER20" t="e">
        <f>AND(#REF!,"AAAAAFX//pM=")</f>
        <v>#REF!</v>
      </c>
      <c r="ES20" t="e">
        <f>IF(#REF!,"AAAAAFX//pQ=",0)</f>
        <v>#REF!</v>
      </c>
      <c r="ET20" t="e">
        <f>AND(#REF!,"AAAAAFX//pU=")</f>
        <v>#REF!</v>
      </c>
      <c r="EU20" t="e">
        <f>AND(#REF!,"AAAAAFX//pY=")</f>
        <v>#REF!</v>
      </c>
      <c r="EV20" t="e">
        <f>AND(#REF!,"AAAAAFX//pc=")</f>
        <v>#REF!</v>
      </c>
      <c r="EW20" t="e">
        <f>AND(#REF!,"AAAAAFX//pg=")</f>
        <v>#REF!</v>
      </c>
      <c r="EX20" t="e">
        <f>AND(#REF!,"AAAAAFX//pk=")</f>
        <v>#REF!</v>
      </c>
      <c r="EY20" t="e">
        <f>AND(#REF!,"AAAAAFX//po=")</f>
        <v>#REF!</v>
      </c>
      <c r="EZ20" t="e">
        <f>AND(#REF!,"AAAAAFX//ps=")</f>
        <v>#REF!</v>
      </c>
      <c r="FA20" t="e">
        <f>AND(#REF!,"AAAAAFX//pw=")</f>
        <v>#REF!</v>
      </c>
      <c r="FB20" t="e">
        <f>AND(#REF!,"AAAAAFX//p0=")</f>
        <v>#REF!</v>
      </c>
      <c r="FC20" t="e">
        <f>AND(#REF!,"AAAAAFX//p4=")</f>
        <v>#REF!</v>
      </c>
      <c r="FD20" t="e">
        <f>IF(#REF!,"AAAAAFX//p8=",0)</f>
        <v>#REF!</v>
      </c>
      <c r="FE20" t="e">
        <f>AND(#REF!,"AAAAAFX//qA=")</f>
        <v>#REF!</v>
      </c>
      <c r="FF20" t="e">
        <f>AND(#REF!,"AAAAAFX//qE=")</f>
        <v>#REF!</v>
      </c>
      <c r="FG20" t="e">
        <f>AND(#REF!,"AAAAAFX//qI=")</f>
        <v>#REF!</v>
      </c>
      <c r="FH20" t="e">
        <f>AND(#REF!,"AAAAAFX//qM=")</f>
        <v>#REF!</v>
      </c>
      <c r="FI20" t="e">
        <f>AND(#REF!,"AAAAAFX//qQ=")</f>
        <v>#REF!</v>
      </c>
      <c r="FJ20" t="e">
        <f>AND(#REF!,"AAAAAFX//qU=")</f>
        <v>#REF!</v>
      </c>
      <c r="FK20" t="e">
        <f>AND(#REF!,"AAAAAFX//qY=")</f>
        <v>#REF!</v>
      </c>
      <c r="FL20" t="e">
        <f>AND(#REF!,"AAAAAFX//qc=")</f>
        <v>#REF!</v>
      </c>
      <c r="FM20" t="e">
        <f>AND(#REF!,"AAAAAFX//qg=")</f>
        <v>#REF!</v>
      </c>
      <c r="FN20" t="e">
        <f>AND(#REF!,"AAAAAFX//qk=")</f>
        <v>#REF!</v>
      </c>
      <c r="FO20" t="e">
        <f>IF(#REF!,"AAAAAFX//qo=",0)</f>
        <v>#REF!</v>
      </c>
      <c r="FP20" t="e">
        <f>AND(#REF!,"AAAAAFX//qs=")</f>
        <v>#REF!</v>
      </c>
      <c r="FQ20" t="e">
        <f>AND(#REF!,"AAAAAFX//qw=")</f>
        <v>#REF!</v>
      </c>
      <c r="FR20" t="e">
        <f>AND(#REF!,"AAAAAFX//q0=")</f>
        <v>#REF!</v>
      </c>
      <c r="FS20" t="e">
        <f>AND(#REF!,"AAAAAFX//q4=")</f>
        <v>#REF!</v>
      </c>
      <c r="FT20" t="e">
        <f>AND(#REF!,"AAAAAFX//q8=")</f>
        <v>#REF!</v>
      </c>
      <c r="FU20" t="e">
        <f>AND(#REF!,"AAAAAFX//rA=")</f>
        <v>#REF!</v>
      </c>
      <c r="FV20" t="e">
        <f>AND(#REF!,"AAAAAFX//rE=")</f>
        <v>#REF!</v>
      </c>
      <c r="FW20" t="e">
        <f>AND(#REF!,"AAAAAFX//rI=")</f>
        <v>#REF!</v>
      </c>
      <c r="FX20" t="e">
        <f>AND(#REF!,"AAAAAFX//rM=")</f>
        <v>#REF!</v>
      </c>
      <c r="FY20" t="e">
        <f>AND(#REF!,"AAAAAFX//rQ=")</f>
        <v>#REF!</v>
      </c>
      <c r="FZ20" t="e">
        <f>IF(#REF!,"AAAAAFX//rU=",0)</f>
        <v>#REF!</v>
      </c>
      <c r="GA20" t="e">
        <f>AND(#REF!,"AAAAAFX//rY=")</f>
        <v>#REF!</v>
      </c>
      <c r="GB20" t="e">
        <f>AND(#REF!,"AAAAAFX//rc=")</f>
        <v>#REF!</v>
      </c>
      <c r="GC20" t="e">
        <f>AND(#REF!,"AAAAAFX//rg=")</f>
        <v>#REF!</v>
      </c>
      <c r="GD20" t="e">
        <f>AND(#REF!,"AAAAAFX//rk=")</f>
        <v>#REF!</v>
      </c>
      <c r="GE20" t="e">
        <f>AND(#REF!,"AAAAAFX//ro=")</f>
        <v>#REF!</v>
      </c>
      <c r="GF20" t="e">
        <f>AND(#REF!,"AAAAAFX//rs=")</f>
        <v>#REF!</v>
      </c>
      <c r="GG20" t="e">
        <f>AND(#REF!,"AAAAAFX//rw=")</f>
        <v>#REF!</v>
      </c>
      <c r="GH20" t="e">
        <f>AND(#REF!,"AAAAAFX//r0=")</f>
        <v>#REF!</v>
      </c>
      <c r="GI20" t="e">
        <f>AND(#REF!,"AAAAAFX//r4=")</f>
        <v>#REF!</v>
      </c>
      <c r="GJ20" t="e">
        <f>AND(#REF!,"AAAAAFX//r8=")</f>
        <v>#REF!</v>
      </c>
      <c r="GK20" t="e">
        <f>IF(#REF!,"AAAAAFX//sA=",0)</f>
        <v>#REF!</v>
      </c>
      <c r="GL20" t="e">
        <f>AND(#REF!,"AAAAAFX//sE=")</f>
        <v>#REF!</v>
      </c>
      <c r="GM20" t="e">
        <f>AND(#REF!,"AAAAAFX//sI=")</f>
        <v>#REF!</v>
      </c>
      <c r="GN20" t="e">
        <f>AND(#REF!,"AAAAAFX//sM=")</f>
        <v>#REF!</v>
      </c>
      <c r="GO20" t="e">
        <f>AND(#REF!,"AAAAAFX//sQ=")</f>
        <v>#REF!</v>
      </c>
      <c r="GP20" t="e">
        <f>AND(#REF!,"AAAAAFX//sU=")</f>
        <v>#REF!</v>
      </c>
      <c r="GQ20" t="e">
        <f>AND(#REF!,"AAAAAFX//sY=")</f>
        <v>#REF!</v>
      </c>
      <c r="GR20" t="e">
        <f>AND(#REF!,"AAAAAFX//sc=")</f>
        <v>#REF!</v>
      </c>
      <c r="GS20" t="e">
        <f>AND(#REF!,"AAAAAFX//sg=")</f>
        <v>#REF!</v>
      </c>
      <c r="GT20" t="e">
        <f>AND(#REF!,"AAAAAFX//sk=")</f>
        <v>#REF!</v>
      </c>
      <c r="GU20" t="e">
        <f>AND(#REF!,"AAAAAFX//so=")</f>
        <v>#REF!</v>
      </c>
      <c r="GV20" t="e">
        <f>IF(#REF!,"AAAAAFX//ss=",0)</f>
        <v>#REF!</v>
      </c>
      <c r="GW20" t="e">
        <f>AND(#REF!,"AAAAAFX//sw=")</f>
        <v>#REF!</v>
      </c>
      <c r="GX20" t="e">
        <f>AND(#REF!,"AAAAAFX//s0=")</f>
        <v>#REF!</v>
      </c>
      <c r="GY20" t="e">
        <f>AND(#REF!,"AAAAAFX//s4=")</f>
        <v>#REF!</v>
      </c>
      <c r="GZ20" t="e">
        <f>AND(#REF!,"AAAAAFX//s8=")</f>
        <v>#REF!</v>
      </c>
      <c r="HA20" t="e">
        <f>AND(#REF!,"AAAAAFX//tA=")</f>
        <v>#REF!</v>
      </c>
      <c r="HB20" t="e">
        <f>AND(#REF!,"AAAAAFX//tE=")</f>
        <v>#REF!</v>
      </c>
      <c r="HC20" t="e">
        <f>AND(#REF!,"AAAAAFX//tI=")</f>
        <v>#REF!</v>
      </c>
      <c r="HD20" t="e">
        <f>AND(#REF!,"AAAAAFX//tM=")</f>
        <v>#REF!</v>
      </c>
      <c r="HE20" t="e">
        <f>AND(#REF!,"AAAAAFX//tQ=")</f>
        <v>#REF!</v>
      </c>
      <c r="HF20" t="e">
        <f>AND(#REF!,"AAAAAFX//tU=")</f>
        <v>#REF!</v>
      </c>
      <c r="HG20" t="e">
        <f>IF(#REF!,"AAAAAFX//tY=",0)</f>
        <v>#REF!</v>
      </c>
      <c r="HH20" t="e">
        <f>AND(#REF!,"AAAAAFX//tc=")</f>
        <v>#REF!</v>
      </c>
      <c r="HI20" t="e">
        <f>AND(#REF!,"AAAAAFX//tg=")</f>
        <v>#REF!</v>
      </c>
      <c r="HJ20" t="e">
        <f>AND(#REF!,"AAAAAFX//tk=")</f>
        <v>#REF!</v>
      </c>
      <c r="HK20" t="e">
        <f>AND(#REF!,"AAAAAFX//to=")</f>
        <v>#REF!</v>
      </c>
      <c r="HL20" t="e">
        <f>AND(#REF!,"AAAAAFX//ts=")</f>
        <v>#REF!</v>
      </c>
      <c r="HM20" t="e">
        <f>AND(#REF!,"AAAAAFX//tw=")</f>
        <v>#REF!</v>
      </c>
      <c r="HN20" t="e">
        <f>AND(#REF!,"AAAAAFX//t0=")</f>
        <v>#REF!</v>
      </c>
      <c r="HO20" t="e">
        <f>AND(#REF!,"AAAAAFX//t4=")</f>
        <v>#REF!</v>
      </c>
      <c r="HP20" t="e">
        <f>AND(#REF!,"AAAAAFX//t8=")</f>
        <v>#REF!</v>
      </c>
      <c r="HQ20" t="e">
        <f>AND(#REF!,"AAAAAFX//uA=")</f>
        <v>#REF!</v>
      </c>
      <c r="HR20" t="e">
        <f>IF(#REF!,"AAAAAFX//uE=",0)</f>
        <v>#REF!</v>
      </c>
      <c r="HS20" t="e">
        <f>AND(#REF!,"AAAAAFX//uI=")</f>
        <v>#REF!</v>
      </c>
      <c r="HT20" t="e">
        <f>AND(#REF!,"AAAAAFX//uM=")</f>
        <v>#REF!</v>
      </c>
      <c r="HU20" t="e">
        <f>AND(#REF!,"AAAAAFX//uQ=")</f>
        <v>#REF!</v>
      </c>
      <c r="HV20" t="e">
        <f>AND(#REF!,"AAAAAFX//uU=")</f>
        <v>#REF!</v>
      </c>
      <c r="HW20" t="e">
        <f>AND(#REF!,"AAAAAFX//uY=")</f>
        <v>#REF!</v>
      </c>
      <c r="HX20" t="e">
        <f>AND(#REF!,"AAAAAFX//uc=")</f>
        <v>#REF!</v>
      </c>
      <c r="HY20" t="e">
        <f>AND(#REF!,"AAAAAFX//ug=")</f>
        <v>#REF!</v>
      </c>
      <c r="HZ20" t="e">
        <f>AND(#REF!,"AAAAAFX//uk=")</f>
        <v>#REF!</v>
      </c>
      <c r="IA20" t="e">
        <f>AND(#REF!,"AAAAAFX//uo=")</f>
        <v>#REF!</v>
      </c>
      <c r="IB20" t="e">
        <f>AND(#REF!,"AAAAAFX//us=")</f>
        <v>#REF!</v>
      </c>
      <c r="IC20" t="e">
        <f>IF(#REF!,"AAAAAFX//uw=",0)</f>
        <v>#REF!</v>
      </c>
      <c r="ID20" t="e">
        <f>AND(#REF!,"AAAAAFX//u0=")</f>
        <v>#REF!</v>
      </c>
      <c r="IE20" t="e">
        <f>AND(#REF!,"AAAAAFX//u4=")</f>
        <v>#REF!</v>
      </c>
      <c r="IF20" t="e">
        <f>AND(#REF!,"AAAAAFX//u8=")</f>
        <v>#REF!</v>
      </c>
      <c r="IG20" t="e">
        <f>AND(#REF!,"AAAAAFX//vA=")</f>
        <v>#REF!</v>
      </c>
      <c r="IH20" t="e">
        <f>AND(#REF!,"AAAAAFX//vE=")</f>
        <v>#REF!</v>
      </c>
      <c r="II20" t="e">
        <f>AND(#REF!,"AAAAAFX//vI=")</f>
        <v>#REF!</v>
      </c>
      <c r="IJ20" t="e">
        <f>AND(#REF!,"AAAAAFX//vM=")</f>
        <v>#REF!</v>
      </c>
      <c r="IK20" t="e">
        <f>AND(#REF!,"AAAAAFX//vQ=")</f>
        <v>#REF!</v>
      </c>
      <c r="IL20" t="e">
        <f>AND(#REF!,"AAAAAFX//vU=")</f>
        <v>#REF!</v>
      </c>
      <c r="IM20" t="e">
        <f>AND(#REF!,"AAAAAFX//vY=")</f>
        <v>#REF!</v>
      </c>
      <c r="IN20" t="e">
        <f>IF(#REF!,"AAAAAFX//vc=",0)</f>
        <v>#REF!</v>
      </c>
      <c r="IO20" t="e">
        <f>AND(#REF!,"AAAAAFX//vg=")</f>
        <v>#REF!</v>
      </c>
      <c r="IP20" t="e">
        <f>AND(#REF!,"AAAAAFX//vk=")</f>
        <v>#REF!</v>
      </c>
      <c r="IQ20" t="e">
        <f>AND(#REF!,"AAAAAFX//vo=")</f>
        <v>#REF!</v>
      </c>
      <c r="IR20" t="e">
        <f>AND(#REF!,"AAAAAFX//vs=")</f>
        <v>#REF!</v>
      </c>
      <c r="IS20" t="e">
        <f>AND(#REF!,"AAAAAFX//vw=")</f>
        <v>#REF!</v>
      </c>
      <c r="IT20" t="e">
        <f>AND(#REF!,"AAAAAFX//v0=")</f>
        <v>#REF!</v>
      </c>
      <c r="IU20" t="e">
        <f>AND(#REF!,"AAAAAFX//v4=")</f>
        <v>#REF!</v>
      </c>
      <c r="IV20" t="e">
        <f>AND(#REF!,"AAAAAFX//v8=")</f>
        <v>#REF!</v>
      </c>
    </row>
    <row r="21" spans="1:166" x14ac:dyDescent="0.25">
      <c r="A21" t="e">
        <f>AND(#REF!,"AAAAAGrd3wA=")</f>
        <v>#REF!</v>
      </c>
      <c r="B21" t="e">
        <f>AND(#REF!,"AAAAAGrd3wE=")</f>
        <v>#REF!</v>
      </c>
      <c r="C21" t="e">
        <f>IF(#REF!,"AAAAAGrd3wI=",0)</f>
        <v>#REF!</v>
      </c>
      <c r="D21" t="e">
        <f>AND(#REF!,"AAAAAGrd3wM=")</f>
        <v>#REF!</v>
      </c>
      <c r="E21" t="e">
        <f>AND(#REF!,"AAAAAGrd3wQ=")</f>
        <v>#REF!</v>
      </c>
      <c r="F21" t="e">
        <f>AND(#REF!,"AAAAAGrd3wU=")</f>
        <v>#REF!</v>
      </c>
      <c r="G21" t="e">
        <f>AND(#REF!,"AAAAAGrd3wY=")</f>
        <v>#REF!</v>
      </c>
      <c r="H21" t="e">
        <f>AND(#REF!,"AAAAAGrd3wc=")</f>
        <v>#REF!</v>
      </c>
      <c r="I21" t="e">
        <f>AND(#REF!,"AAAAAGrd3wg=")</f>
        <v>#REF!</v>
      </c>
      <c r="J21" t="e">
        <f>AND(#REF!,"AAAAAGrd3wk=")</f>
        <v>#REF!</v>
      </c>
      <c r="K21" t="e">
        <f>AND(#REF!,"AAAAAGrd3wo=")</f>
        <v>#REF!</v>
      </c>
      <c r="L21" t="e">
        <f>AND(#REF!,"AAAAAGrd3ws=")</f>
        <v>#REF!</v>
      </c>
      <c r="M21" t="e">
        <f>AND(#REF!,"AAAAAGrd3ww=")</f>
        <v>#REF!</v>
      </c>
      <c r="N21" t="e">
        <f>IF(#REF!,"AAAAAGrd3w0=",0)</f>
        <v>#REF!</v>
      </c>
      <c r="O21" t="e">
        <f>AND(#REF!,"AAAAAGrd3w4=")</f>
        <v>#REF!</v>
      </c>
      <c r="P21" t="e">
        <f>AND(#REF!,"AAAAAGrd3w8=")</f>
        <v>#REF!</v>
      </c>
      <c r="Q21" t="e">
        <f>AND(#REF!,"AAAAAGrd3xA=")</f>
        <v>#REF!</v>
      </c>
      <c r="R21" t="e">
        <f>AND(#REF!,"AAAAAGrd3xE=")</f>
        <v>#REF!</v>
      </c>
      <c r="S21" t="e">
        <f>AND(#REF!,"AAAAAGrd3xI=")</f>
        <v>#REF!</v>
      </c>
      <c r="T21" t="e">
        <f>AND(#REF!,"AAAAAGrd3xM=")</f>
        <v>#REF!</v>
      </c>
      <c r="U21" t="e">
        <f>AND(#REF!,"AAAAAGrd3xQ=")</f>
        <v>#REF!</v>
      </c>
      <c r="V21" t="e">
        <f>AND(#REF!,"AAAAAGrd3xU=")</f>
        <v>#REF!</v>
      </c>
      <c r="W21" t="e">
        <f>AND(#REF!,"AAAAAGrd3xY=")</f>
        <v>#REF!</v>
      </c>
      <c r="X21" t="e">
        <f>AND(#REF!,"AAAAAGrd3xc=")</f>
        <v>#REF!</v>
      </c>
      <c r="Y21" t="e">
        <f>IF(#REF!,"AAAAAGrd3xg=",0)</f>
        <v>#REF!</v>
      </c>
      <c r="Z21" t="e">
        <f>AND(#REF!,"AAAAAGrd3xk=")</f>
        <v>#REF!</v>
      </c>
      <c r="AA21" t="e">
        <f>AND(#REF!,"AAAAAGrd3xo=")</f>
        <v>#REF!</v>
      </c>
      <c r="AB21" t="e">
        <f>AND(#REF!,"AAAAAGrd3xs=")</f>
        <v>#REF!</v>
      </c>
      <c r="AC21" t="e">
        <f>AND(#REF!,"AAAAAGrd3xw=")</f>
        <v>#REF!</v>
      </c>
      <c r="AD21" t="e">
        <f>AND(#REF!,"AAAAAGrd3x0=")</f>
        <v>#REF!</v>
      </c>
      <c r="AE21" t="e">
        <f>AND(#REF!,"AAAAAGrd3x4=")</f>
        <v>#REF!</v>
      </c>
      <c r="AF21" t="e">
        <f>AND(#REF!,"AAAAAGrd3x8=")</f>
        <v>#REF!</v>
      </c>
      <c r="AG21" t="e">
        <f>AND(#REF!,"AAAAAGrd3yA=")</f>
        <v>#REF!</v>
      </c>
      <c r="AH21" t="e">
        <f>AND(#REF!,"AAAAAGrd3yE=")</f>
        <v>#REF!</v>
      </c>
      <c r="AI21" t="e">
        <f>AND(#REF!,"AAAAAGrd3yI=")</f>
        <v>#REF!</v>
      </c>
      <c r="AJ21" t="e">
        <f>IF(#REF!,"AAAAAGrd3yM=",0)</f>
        <v>#REF!</v>
      </c>
      <c r="AK21" t="e">
        <f>AND(#REF!,"AAAAAGrd3yQ=")</f>
        <v>#REF!</v>
      </c>
      <c r="AL21" t="e">
        <f>AND(#REF!,"AAAAAGrd3yU=")</f>
        <v>#REF!</v>
      </c>
      <c r="AM21" t="e">
        <f>AND(#REF!,"AAAAAGrd3yY=")</f>
        <v>#REF!</v>
      </c>
      <c r="AN21" t="e">
        <f>AND(#REF!,"AAAAAGrd3yc=")</f>
        <v>#REF!</v>
      </c>
      <c r="AO21" t="e">
        <f>AND(#REF!,"AAAAAGrd3yg=")</f>
        <v>#REF!</v>
      </c>
      <c r="AP21" t="e">
        <f>AND(#REF!,"AAAAAGrd3yk=")</f>
        <v>#REF!</v>
      </c>
      <c r="AQ21" t="e">
        <f>AND(#REF!,"AAAAAGrd3yo=")</f>
        <v>#REF!</v>
      </c>
      <c r="AR21" t="e">
        <f>AND(#REF!,"AAAAAGrd3ys=")</f>
        <v>#REF!</v>
      </c>
      <c r="AS21" t="e">
        <f>AND(#REF!,"AAAAAGrd3yw=")</f>
        <v>#REF!</v>
      </c>
      <c r="AT21" t="e">
        <f>AND(#REF!,"AAAAAGrd3y0=")</f>
        <v>#REF!</v>
      </c>
      <c r="AU21" t="e">
        <f>IF(#REF!,"AAAAAGrd3y4=",0)</f>
        <v>#REF!</v>
      </c>
      <c r="AV21" t="e">
        <f>AND(#REF!,"AAAAAGrd3y8=")</f>
        <v>#REF!</v>
      </c>
      <c r="AW21" t="e">
        <f>AND(#REF!,"AAAAAGrd3zA=")</f>
        <v>#REF!</v>
      </c>
      <c r="AX21" t="e">
        <f>AND(#REF!,"AAAAAGrd3zE=")</f>
        <v>#REF!</v>
      </c>
      <c r="AY21" t="e">
        <f>AND(#REF!,"AAAAAGrd3zI=")</f>
        <v>#REF!</v>
      </c>
      <c r="AZ21" t="e">
        <f>AND(#REF!,"AAAAAGrd3zM=")</f>
        <v>#REF!</v>
      </c>
      <c r="BA21" t="e">
        <f>AND(#REF!,"AAAAAGrd3zQ=")</f>
        <v>#REF!</v>
      </c>
      <c r="BB21" t="e">
        <f>AND(#REF!,"AAAAAGrd3zU=")</f>
        <v>#REF!</v>
      </c>
      <c r="BC21" t="e">
        <f>AND(#REF!,"AAAAAGrd3zY=")</f>
        <v>#REF!</v>
      </c>
      <c r="BD21" t="e">
        <f>AND(#REF!,"AAAAAGrd3zc=")</f>
        <v>#REF!</v>
      </c>
      <c r="BE21" t="e">
        <f>AND(#REF!,"AAAAAGrd3zg=")</f>
        <v>#REF!</v>
      </c>
      <c r="BF21" t="e">
        <f>IF(#REF!,"AAAAAGrd3zk=",0)</f>
        <v>#REF!</v>
      </c>
      <c r="BG21" t="e">
        <f>AND(#REF!,"AAAAAGrd3zo=")</f>
        <v>#REF!</v>
      </c>
      <c r="BH21" t="e">
        <f>AND(#REF!,"AAAAAGrd3zs=")</f>
        <v>#REF!</v>
      </c>
      <c r="BI21" t="e">
        <f>AND(#REF!,"AAAAAGrd3zw=")</f>
        <v>#REF!</v>
      </c>
      <c r="BJ21" t="e">
        <f>AND(#REF!,"AAAAAGrd3z0=")</f>
        <v>#REF!</v>
      </c>
      <c r="BK21" t="e">
        <f>AND(#REF!,"AAAAAGrd3z4=")</f>
        <v>#REF!</v>
      </c>
      <c r="BL21" t="e">
        <f>AND(#REF!,"AAAAAGrd3z8=")</f>
        <v>#REF!</v>
      </c>
      <c r="BM21" t="e">
        <f>AND(#REF!,"AAAAAGrd30A=")</f>
        <v>#REF!</v>
      </c>
      <c r="BN21" t="e">
        <f>AND(#REF!,"AAAAAGrd30E=")</f>
        <v>#REF!</v>
      </c>
      <c r="BO21" t="e">
        <f>AND(#REF!,"AAAAAGrd30I=")</f>
        <v>#REF!</v>
      </c>
      <c r="BP21" t="e">
        <f>AND(#REF!,"AAAAAGrd30M=")</f>
        <v>#REF!</v>
      </c>
      <c r="BQ21" t="e">
        <f>IF(#REF!,"AAAAAGrd30Q=",0)</f>
        <v>#REF!</v>
      </c>
      <c r="BR21" t="e">
        <f>AND(#REF!,"AAAAAGrd30U=")</f>
        <v>#REF!</v>
      </c>
      <c r="BS21" t="e">
        <f>AND(#REF!,"AAAAAGrd30Y=")</f>
        <v>#REF!</v>
      </c>
      <c r="BT21" t="e">
        <f>AND(#REF!,"AAAAAGrd30c=")</f>
        <v>#REF!</v>
      </c>
      <c r="BU21" t="e">
        <f>AND(#REF!,"AAAAAGrd30g=")</f>
        <v>#REF!</v>
      </c>
      <c r="BV21" t="e">
        <f>AND(#REF!,"AAAAAGrd30k=")</f>
        <v>#REF!</v>
      </c>
      <c r="BW21" t="e">
        <f>AND(#REF!,"AAAAAGrd30o=")</f>
        <v>#REF!</v>
      </c>
      <c r="BX21" t="e">
        <f>AND(#REF!,"AAAAAGrd30s=")</f>
        <v>#REF!</v>
      </c>
      <c r="BY21" t="e">
        <f>AND(#REF!,"AAAAAGrd30w=")</f>
        <v>#REF!</v>
      </c>
      <c r="BZ21" t="e">
        <f>AND(#REF!,"AAAAAGrd300=")</f>
        <v>#REF!</v>
      </c>
      <c r="CA21" t="e">
        <f>AND(#REF!,"AAAAAGrd304=")</f>
        <v>#REF!</v>
      </c>
      <c r="CB21" t="e">
        <f>IF(#REF!,"AAAAAGrd308=",0)</f>
        <v>#REF!</v>
      </c>
      <c r="CC21" t="e">
        <f>AND(#REF!,"AAAAAGrd31A=")</f>
        <v>#REF!</v>
      </c>
      <c r="CD21" t="e">
        <f>AND(#REF!,"AAAAAGrd31E=")</f>
        <v>#REF!</v>
      </c>
      <c r="CE21" t="e">
        <f>AND(#REF!,"AAAAAGrd31I=")</f>
        <v>#REF!</v>
      </c>
      <c r="CF21" t="e">
        <f>AND(#REF!,"AAAAAGrd31M=")</f>
        <v>#REF!</v>
      </c>
      <c r="CG21" t="e">
        <f>AND(#REF!,"AAAAAGrd31Q=")</f>
        <v>#REF!</v>
      </c>
      <c r="CH21" t="e">
        <f>AND(#REF!,"AAAAAGrd31U=")</f>
        <v>#REF!</v>
      </c>
      <c r="CI21" t="e">
        <f>AND(#REF!,"AAAAAGrd31Y=")</f>
        <v>#REF!</v>
      </c>
      <c r="CJ21" t="e">
        <f>AND(#REF!,"AAAAAGrd31c=")</f>
        <v>#REF!</v>
      </c>
      <c r="CK21" t="e">
        <f>AND(#REF!,"AAAAAGrd31g=")</f>
        <v>#REF!</v>
      </c>
      <c r="CL21" t="e">
        <f>AND(#REF!,"AAAAAGrd31k=")</f>
        <v>#REF!</v>
      </c>
      <c r="CM21" t="e">
        <f>IF(#REF!,"AAAAAGrd31o=",0)</f>
        <v>#REF!</v>
      </c>
      <c r="CN21" t="e">
        <f>AND(#REF!,"AAAAAGrd31s=")</f>
        <v>#REF!</v>
      </c>
      <c r="CO21" t="e">
        <f>AND(#REF!,"AAAAAGrd31w=")</f>
        <v>#REF!</v>
      </c>
      <c r="CP21" t="e">
        <f>AND(#REF!,"AAAAAGrd310=")</f>
        <v>#REF!</v>
      </c>
      <c r="CQ21" t="e">
        <f>AND(#REF!,"AAAAAGrd314=")</f>
        <v>#REF!</v>
      </c>
      <c r="CR21" t="e">
        <f>AND(#REF!,"AAAAAGrd318=")</f>
        <v>#REF!</v>
      </c>
      <c r="CS21" t="e">
        <f>AND(#REF!,"AAAAAGrd32A=")</f>
        <v>#REF!</v>
      </c>
      <c r="CT21" t="e">
        <f>AND(#REF!,"AAAAAGrd32E=")</f>
        <v>#REF!</v>
      </c>
      <c r="CU21" t="e">
        <f>AND(#REF!,"AAAAAGrd32I=")</f>
        <v>#REF!</v>
      </c>
      <c r="CV21" t="e">
        <f>AND(#REF!,"AAAAAGrd32M=")</f>
        <v>#REF!</v>
      </c>
      <c r="CW21" t="e">
        <f>AND(#REF!,"AAAAAGrd32Q=")</f>
        <v>#REF!</v>
      </c>
      <c r="CX21" t="e">
        <f>IF(#REF!,"AAAAAGrd32U=",0)</f>
        <v>#REF!</v>
      </c>
      <c r="CY21" t="e">
        <f>AND(#REF!,"AAAAAGrd32Y=")</f>
        <v>#REF!</v>
      </c>
      <c r="CZ21" t="e">
        <f>AND(#REF!,"AAAAAGrd32c=")</f>
        <v>#REF!</v>
      </c>
      <c r="DA21" t="e">
        <f>AND(#REF!,"AAAAAGrd32g=")</f>
        <v>#REF!</v>
      </c>
      <c r="DB21" t="e">
        <f>AND(#REF!,"AAAAAGrd32k=")</f>
        <v>#REF!</v>
      </c>
      <c r="DC21" t="e">
        <f>AND(#REF!,"AAAAAGrd32o=")</f>
        <v>#REF!</v>
      </c>
      <c r="DD21" t="e">
        <f>AND(#REF!,"AAAAAGrd32s=")</f>
        <v>#REF!</v>
      </c>
      <c r="DE21" t="e">
        <f>AND(#REF!,"AAAAAGrd32w=")</f>
        <v>#REF!</v>
      </c>
      <c r="DF21" t="e">
        <f>AND(#REF!,"AAAAAGrd320=")</f>
        <v>#REF!</v>
      </c>
      <c r="DG21" t="e">
        <f>AND(#REF!,"AAAAAGrd324=")</f>
        <v>#REF!</v>
      </c>
      <c r="DH21" t="e">
        <f>AND(#REF!,"AAAAAGrd328=")</f>
        <v>#REF!</v>
      </c>
      <c r="DI21" t="e">
        <f>IF(#REF!,"AAAAAGrd33A=",0)</f>
        <v>#REF!</v>
      </c>
      <c r="DJ21" t="e">
        <f>AND(#REF!,"AAAAAGrd33E=")</f>
        <v>#REF!</v>
      </c>
      <c r="DK21" t="e">
        <f>AND(#REF!,"AAAAAGrd33I=")</f>
        <v>#REF!</v>
      </c>
      <c r="DL21" t="e">
        <f>AND(#REF!,"AAAAAGrd33M=")</f>
        <v>#REF!</v>
      </c>
      <c r="DM21" t="e">
        <f>AND(#REF!,"AAAAAGrd33Q=")</f>
        <v>#REF!</v>
      </c>
      <c r="DN21" t="e">
        <f>AND(#REF!,"AAAAAGrd33U=")</f>
        <v>#REF!</v>
      </c>
      <c r="DO21" t="e">
        <f>AND(#REF!,"AAAAAGrd33Y=")</f>
        <v>#REF!</v>
      </c>
      <c r="DP21" t="e">
        <f>AND(#REF!,"AAAAAGrd33c=")</f>
        <v>#REF!</v>
      </c>
      <c r="DQ21" t="e">
        <f>AND(#REF!,"AAAAAGrd33g=")</f>
        <v>#REF!</v>
      </c>
      <c r="DR21" t="e">
        <f>AND(#REF!,"AAAAAGrd33k=")</f>
        <v>#REF!</v>
      </c>
      <c r="DS21" t="e">
        <f>AND(#REF!,"AAAAAGrd33o=")</f>
        <v>#REF!</v>
      </c>
      <c r="DT21" t="e">
        <f>IF(#REF!,"AAAAAGrd33s=",0)</f>
        <v>#REF!</v>
      </c>
      <c r="DU21" t="e">
        <f>AND(#REF!,"AAAAAGrd33w=")</f>
        <v>#REF!</v>
      </c>
      <c r="DV21" t="e">
        <f>AND(#REF!,"AAAAAGrd330=")</f>
        <v>#REF!</v>
      </c>
      <c r="DW21" t="e">
        <f>AND(#REF!,"AAAAAGrd334=")</f>
        <v>#REF!</v>
      </c>
      <c r="DX21" t="e">
        <f>AND(#REF!,"AAAAAGrd338=")</f>
        <v>#REF!</v>
      </c>
      <c r="DY21" t="e">
        <f>AND(#REF!,"AAAAAGrd34A=")</f>
        <v>#REF!</v>
      </c>
      <c r="DZ21" t="e">
        <f>AND(#REF!,"AAAAAGrd34E=")</f>
        <v>#REF!</v>
      </c>
      <c r="EA21" t="e">
        <f>AND(#REF!,"AAAAAGrd34I=")</f>
        <v>#REF!</v>
      </c>
      <c r="EB21" t="e">
        <f>AND(#REF!,"AAAAAGrd34M=")</f>
        <v>#REF!</v>
      </c>
      <c r="EC21" t="e">
        <f>AND(#REF!,"AAAAAGrd34Q=")</f>
        <v>#REF!</v>
      </c>
      <c r="ED21" t="e">
        <f>AND(#REF!,"AAAAAGrd34U=")</f>
        <v>#REF!</v>
      </c>
      <c r="EE21" t="e">
        <f>IF(#REF!,"AAAAAGrd34Y=",0)</f>
        <v>#REF!</v>
      </c>
      <c r="EF21" t="e">
        <f>AND(#REF!,"AAAAAGrd34c=")</f>
        <v>#REF!</v>
      </c>
      <c r="EG21" t="e">
        <f>AND(#REF!,"AAAAAGrd34g=")</f>
        <v>#REF!</v>
      </c>
      <c r="EH21" t="e">
        <f>AND(#REF!,"AAAAAGrd34k=")</f>
        <v>#REF!</v>
      </c>
      <c r="EI21" t="e">
        <f>AND(#REF!,"AAAAAGrd34o=")</f>
        <v>#REF!</v>
      </c>
      <c r="EJ21" t="e">
        <f>AND(#REF!,"AAAAAGrd34s=")</f>
        <v>#REF!</v>
      </c>
      <c r="EK21" t="e">
        <f>AND(#REF!,"AAAAAGrd34w=")</f>
        <v>#REF!</v>
      </c>
      <c r="EL21" t="e">
        <f>AND(#REF!,"AAAAAGrd340=")</f>
        <v>#REF!</v>
      </c>
      <c r="EM21" t="e">
        <f>AND(#REF!,"AAAAAGrd344=")</f>
        <v>#REF!</v>
      </c>
      <c r="EN21" t="e">
        <f>AND(#REF!,"AAAAAGrd348=")</f>
        <v>#REF!</v>
      </c>
      <c r="EO21" t="e">
        <f>AND(#REF!,"AAAAAGrd35A=")</f>
        <v>#REF!</v>
      </c>
      <c r="EP21" t="e">
        <f>IF(#REF!,"AAAAAGrd35E=",0)</f>
        <v>#REF!</v>
      </c>
      <c r="EQ21" t="e">
        <f>AND(#REF!,"AAAAAGrd35I=")</f>
        <v>#REF!</v>
      </c>
      <c r="ER21" t="e">
        <f>AND(#REF!,"AAAAAGrd35M=")</f>
        <v>#REF!</v>
      </c>
      <c r="ES21" t="e">
        <f>AND(#REF!,"AAAAAGrd35Q=")</f>
        <v>#REF!</v>
      </c>
      <c r="ET21" t="e">
        <f>AND(#REF!,"AAAAAGrd35U=")</f>
        <v>#REF!</v>
      </c>
      <c r="EU21" t="e">
        <f>AND(#REF!,"AAAAAGrd35Y=")</f>
        <v>#REF!</v>
      </c>
      <c r="EV21" t="e">
        <f>AND(#REF!,"AAAAAGrd35c=")</f>
        <v>#REF!</v>
      </c>
      <c r="EW21" t="e">
        <f>AND(#REF!,"AAAAAGrd35g=")</f>
        <v>#REF!</v>
      </c>
      <c r="EX21" t="e">
        <f>AND(#REF!,"AAAAAGrd35k=")</f>
        <v>#REF!</v>
      </c>
      <c r="EY21" t="e">
        <f>AND(#REF!,"AAAAAGrd35o=")</f>
        <v>#REF!</v>
      </c>
      <c r="EZ21" t="e">
        <f>AND(#REF!,"AAAAAGrd35s=")</f>
        <v>#REF!</v>
      </c>
      <c r="FA21" t="e">
        <f>IF(#REF!,"AAAAAGrd35w=",0)</f>
        <v>#REF!</v>
      </c>
      <c r="FB21" t="e">
        <f>IF(#REF!,"AAAAAGrd350=",0)</f>
        <v>#REF!</v>
      </c>
      <c r="FC21" t="e">
        <f>IF(#REF!,"AAAAAGrd354=",0)</f>
        <v>#REF!</v>
      </c>
      <c r="FD21" t="e">
        <f>IF(#REF!,"AAAAAGrd358=",0)</f>
        <v>#REF!</v>
      </c>
      <c r="FE21" t="e">
        <f>IF(#REF!,"AAAAAGrd36A=",0)</f>
        <v>#REF!</v>
      </c>
      <c r="FF21" t="e">
        <f>IF(#REF!,"AAAAAGrd36E=",0)</f>
        <v>#REF!</v>
      </c>
      <c r="FG21" t="e">
        <f>IF(#REF!,"AAAAAGrd36I=",0)</f>
        <v>#REF!</v>
      </c>
      <c r="FH21" t="e">
        <f>IF(#REF!,"AAAAAGrd36M=",0)</f>
        <v>#REF!</v>
      </c>
      <c r="FI21" t="e">
        <f>IF(#REF!,"AAAAAGrd36Q=",0)</f>
        <v>#REF!</v>
      </c>
      <c r="FJ21" t="e">
        <f>IF(#REF!,"AAAAAGrd36U=",0)</f>
        <v>#REF!</v>
      </c>
    </row>
    <row r="22" spans="1:23" x14ac:dyDescent="0.25">
      <c r="A22" t="e">
        <f>AND('Pay Bill'!G24,"AAAAAG//zQA=")</f>
        <v>#VALUE!</v>
      </c>
      <c r="B22" t="e">
        <f>IF('Pay Bill'!#REF!,"AAAAAG//zQE=",0)</f>
        <v>#REF!</v>
      </c>
      <c r="C22" t="e">
        <f>AND('Pay Bill'!#REF!,"AAAAAG//zQI=")</f>
        <v>#REF!</v>
      </c>
      <c r="D22" t="e">
        <f>AND('Pay Bill'!#REF!,"AAAAAG//zQM=")</f>
        <v>#REF!</v>
      </c>
      <c r="E22" t="e">
        <f>AND('Pay Bill'!#REF!,"AAAAAG//zQQ=")</f>
        <v>#REF!</v>
      </c>
      <c r="F22" t="e">
        <f>AND('Pay Bill'!#REF!,"AAAAAG//zQU=")</f>
        <v>#REF!</v>
      </c>
      <c r="G22" t="e">
        <f>AND('Pay Bill'!#REF!,"AAAAAG//zQY=")</f>
        <v>#REF!</v>
      </c>
      <c r="H22" t="e">
        <f>AND('Pay Bill'!#REF!,"AAAAAG//zQc=")</f>
        <v>#REF!</v>
      </c>
      <c r="I22" t="e">
        <f>AND('Pay Bill'!#REF!,"AAAAAG//zQg=")</f>
        <v>#REF!</v>
      </c>
      <c r="J22" t="e">
        <f>AND('Pay Bill'!#REF!,"AAAAAG//zQk=")</f>
        <v>#REF!</v>
      </c>
      <c r="K22" t="e">
        <f>AND('Pay Bill'!#REF!,"AAAAAG//zQo=")</f>
        <v>#REF!</v>
      </c>
      <c r="L22" t="e">
        <f>AND('Pay Bill'!#REF!,"AAAAAG//zQs=")</f>
        <v>#REF!</v>
      </c>
      <c r="M22" t="e">
        <f>AND('Pay Bill'!#REF!,"AAAAAG//zQw=")</f>
        <v>#REF!</v>
      </c>
      <c r="N22" t="e">
        <f>AND('Pay Bill'!#REF!,"AAAAAG//zQ0=")</f>
        <v>#REF!</v>
      </c>
      <c r="O22" t="e">
        <f>AND('Pay Bill'!#REF!,"AAAAAG//zQ4=")</f>
        <v>#REF!</v>
      </c>
      <c r="P22" t="e">
        <f>AND('Pay Bill'!#REF!,"AAAAAG//zQ8=")</f>
        <v>#REF!</v>
      </c>
      <c r="Q22" t="e">
        <f>AND('Pay Bill'!#REF!,"AAAAAG//zRA=")</f>
        <v>#REF!</v>
      </c>
      <c r="R22" t="e">
        <f>AND('Pay Bill'!#REF!,"AAAAAG//zRE=")</f>
        <v>#REF!</v>
      </c>
      <c r="S22" t="e">
        <f>AND('Pay Bill'!#REF!,"AAAAAG//zRI=")</f>
        <v>#REF!</v>
      </c>
      <c r="T22" t="e">
        <f>AND('Pay Bill'!#REF!,"AAAAAG//zRM=")</f>
        <v>#REF!</v>
      </c>
      <c r="U22" t="e">
        <f>AND('Pay Bill'!#REF!,"AAAAAG//zRQ=")</f>
        <v>#REF!</v>
      </c>
      <c r="V22" t="e">
        <f>AND('Pay Bill'!#REF!,"AAAAAG//zRU=")</f>
        <v>#REF!</v>
      </c>
      <c r="W22" t="e">
        <f>AND('Pay Bill'!#REF!,"AAAAAG//zRY=")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Bill</vt:lpstr>
      <vt:lpstr>DV-IDENTITY-0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System Analyst</cp:lastModifiedBy>
  <cp:lastPrinted>2026-03-06T13:14:51Z</cp:lastPrinted>
  <dcterms:created xsi:type="dcterms:W3CDTF">2010-10-29T11:39:22Z</dcterms:created>
  <dcterms:modified xsi:type="dcterms:W3CDTF">2026-04-22T08:57:38Z</dcterms:modified>
</cp:coreProperties>
</file>